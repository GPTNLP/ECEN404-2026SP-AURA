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 Sheet" sheetId="1" r:id="rId5"/>
    <sheet state="visible" name="Spec Sheet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<sst xmlns="http://schemas.openxmlformats.org/spreadsheetml/2006/main" count="81" uniqueCount="77">
  <si>
    <t>Subsection</t>
  </si>
  <si>
    <t>ACQ?</t>
  </si>
  <si>
    <t>Personal Funds?</t>
  </si>
  <si>
    <t>Purchase Date</t>
  </si>
  <si>
    <t>QTY</t>
  </si>
  <si>
    <t>Item</t>
  </si>
  <si>
    <t>Item Link</t>
  </si>
  <si>
    <t>Price</t>
  </si>
  <si>
    <t>% of Budget</t>
  </si>
  <si>
    <t>Cane's Caniac Combo Equivilent</t>
  </si>
  <si>
    <t>Budget</t>
  </si>
  <si>
    <t>Caniacs Remaining</t>
  </si>
  <si>
    <t>AI Integration</t>
  </si>
  <si>
    <t>N/A</t>
  </si>
  <si>
    <t>Jetson Nano Orin ($230)</t>
  </si>
  <si>
    <t>https://www.walmart.com/ip/945-13766-0000-000-NVIDIA-Jetson-Orin-Nano-Developer-Kit/2719583090?wmlspartner=wlpa&amp;selectedSellerId=102764212</t>
  </si>
  <si>
    <t>Additional Funds granted for highlighted items by Dr.Jang</t>
  </si>
  <si>
    <t>Subsystem Total =</t>
  </si>
  <si>
    <t>Hardware/UI</t>
  </si>
  <si>
    <t>SHONAN Pure Nickel Strip 99.6% Nickel, 2 Inches Nickel Strips, 0.15x6x50mm Soldering Tabs for High Capacity 18650 Lithium Battery Pack, Li-Po, NiMh and NiCd Battery Pack and Spot Welding, 50 Pcs</t>
  </si>
  <si>
    <t>https://www.amazon.com/0-15x6x50mm-Soldering-Capacity-Lithium-Battery/dp/B07PQP55CM/ref=sr_1_6?dib=eyJ2IjoiMSJ9.4Gg0bnRAJzM7OTvCCfyTkfDy3fHSMxq1fRM2AjLKmIbb4amlv_uWQhaUB6Uif-qacdqquVqOpGe2dQG70QNNaz43W5TdAuffV_4LQSsIxZylI7aQ1CufMql9m-iAbfOEQ7zEhMcleAu1ysaM4_zLYnMNrUlUIRjfIjYeqQgLwvrBPxQ__pdLhYAvbWnGNuutHKk8FVm3qmbb5AgSl9xGvNHnFk7EGwW5MIq51MSfI21UrAL9KpzYGZ_onta4le32YBw8Bbq41xMc2iqGop6lq6iHTErkRwk80o4Uk9goGpQ.VfbEBn5YvcYnn3nnPSXr0-3vzad7GAZSfQLkpNLFbk4&amp;dib_tag=se&amp;keywords=SHONAN%2BPure%2BNickel%2BStrip%2B99.6%25%2BNickel%2C%2B2%2BInches%2BNickel%2BStrips%2C%2B0.15x6x50mm%2BSoldering%2BTabs%2Bfor%2BHigh%2BCapacity%2B18650%2BLithium%2BBattery%2BPack%2C%2BLi-Po%2C%2BNiMh%2Band%2BNiCd%2BBattery%2BPack%2Band%2BSpot%2BWelding%2C%2B50%2BPcs&amp;nsdOptOutParam=true&amp;qid=1776807131&amp;sr=8-6&amp;th=1</t>
  </si>
  <si>
    <t>PVC Heat Shrink Wrap Tube, Battery Wrap for 18650 21700 26650 Lithium Battery DIY Battery Packs Flat Width 3.9in(100mm) Length 9.9ft (3m) Blue</t>
  </si>
  <si>
    <t>https://www.amazon.com/Battery-Shrink-18650-Lithium-Length/dp/B0CWDSZYYL/ref=sr_1_3?crid=3CCE3QPVKA61I&amp;dib=eyJ2IjoiMSJ9.vs2cpab9P-I2JoKzMMXJ45KqWTMJ3o2p9b1EidNSsi9h3un0i3ew_AFxFmeMo_8LhzNwyp6WMJ-x-ubS9jHlJlx6eJ2r7Gll4GOZ7k6rL_UDAttCK12G1i8l-AbS19ZEwhNyqqi7U1sbVxGtwj4hZwBuoI8VfBSstbz30qOPjaH1jPeYamiaaynZsLX4tq6juLubWitaA9jfTpSoGuL8aM4RpD8MSiKPiLsYCS37qsM.7dh1RhuoFHJSn2_RV3vimfVddMvOmce2ZhH4QC8LxvE&amp;dib_tag=se&amp;keywords=PVC+Heat+Shrink+Wrap+Tube%2C+Battery+Wrap+for+18650+21700+26650+Lithium+Battery+DIY+Battery+Packs+Flat+Width+3.9in%28100mm%29+Length+9.9ft+%283m%29+Blue&amp;nsdOptOutParam=true&amp;qid=1776807179&amp;sprefix=pvc+heat+shrink+wrap+tube%2C+battery+wrap+for+18650+21700+26650+lithium+battery+diy+battery+packs+flat+width+3.9in+100mm+length+9.9ft+3m+blue%2Caps%2C241&amp;sr=8-3</t>
  </si>
  <si>
    <t>Battery Spot Welder, Portable Handheld Battery Spot Welder for Lithium Batteries, 18650 Battery, 0.1-0.25mm Nickel Strips, Welding Nickel Sheets, Iron, 11 Gear Adjustable and Auto Manual Modes</t>
  </si>
  <si>
    <t>https://www.amazon.com/SEESII-Battery-Spot-Welder-Built/dp/B0F9Y8VXP5/ref=sr_1_1_sspa?crid=29SCDKAMJN7D6&amp;dib=eyJ2IjoiMSJ9.ZGDt797zmQn9Pl9OIfGJ_PcsulmZ_g22QiGZzfIeHJmjGJ44nthTdhj9sAu5lUVVFcA1R-0392gG7nwf4qP7MTCFpHM-x-j31O-Sq9rGQdSLTv1b2SLQcNZKtTlLCggiF7aIleqRLqdIW_nWq-yvXz0mgczaxf1y-fsRF7T2tQUPxX-poksblR-GeVQ5wHVtYrkLEy8libayjc_iInEqm0NXZab2uld6w7QT1WH7Fm22khOofeUZvA3Qf4z05n-eelp8U2LF3cAfennp0tekNsNghLFfcrkTkzRdhoSDAiM.R-s_NDjv-ZHId-ehTNHPbLVfKSZsJw7rnYcuxFbzjt8&amp;dib_tag=se&amp;keywords=Battery+Spot+Welder%2C+Portable+Handheld+Battery+Spot+Welder+for+Lithium+Batteries%2C+18650+Battery%2C+0.1-0.25mm+Nickel+Strips%2C+Welding+Nickel+Sheets%2C+Iron%2C+11+Gear+Adjustable+and+Auto+Manual+Modes&amp;nsdOptOutParam=true&amp;qid=1776807202&amp;sprefix=battery+spot+welder%2C+portable+handheld+battery+spot+welder+for+lithium+batteries%2C+18650+battery%2C+0.1-0.25mm+nickel+strips%2C+welding+nickel+sheets%2C+iron%2C+11+gear+adjustable+and+auto+manual+modes%2Caps%2C248&amp;sr=8-1-spons&amp;sp_csd=d2lkZ2V0TmFtZT1zcF9hdGY&amp;psc=1</t>
  </si>
  <si>
    <t>3D printed Cell Brackets (2S2P) (PETG Filament)</t>
  </si>
  <si>
    <t>Soldering Kit to build pcb</t>
  </si>
  <si>
    <t>https://www.amazon.com/dp/B01HPSRXJ0?_encoding=UTF8&amp;psc=1&amp;ref_=cm_sw_r_cp_ud_dp_1CJAMKG39ZMQF5PBV0QA</t>
  </si>
  <si>
    <t>INR-18650-P26A + MOLICEL 087 2KC18 06 BATTERIES (4 total)</t>
  </si>
  <si>
    <t xml:space="preserve">https://www.molicel.com/wp-content/uploads/INR18650P26A-V2-80087.pdf </t>
  </si>
  <si>
    <t>Power PCB</t>
  </si>
  <si>
    <t>Ordered from JLCPCB ($230)</t>
  </si>
  <si>
    <t>Digikey Electronic Components (Addition tariffs &amp; delievery fees)</t>
  </si>
  <si>
    <t>https://www.digikey.com/short/b7t09trj</t>
  </si>
  <si>
    <t>Mouser Electronic Components (Addition tariffs &amp; delievery fees)</t>
  </si>
  <si>
    <t>https://www.mouser.com/Tools/SavedCart/Share?AccessID=62cf18dc6c</t>
  </si>
  <si>
    <t xml:space="preserve">Electrical Insulating Fish Paper </t>
  </si>
  <si>
    <r>
      <rPr>
        <color rgb="FF1155CC"/>
        <u/>
      </rPr>
      <t>https://www.aliexpress.us/item/2255800561183039.html?spm=a2g0o.productlist.main.2.6d45qU1GqU1GSx&amp;algo_pvid=afd0a8f9-0053-4a30-a3ae-844496777584&amp;algo_exp_id=afd0a8f9-0053-4a30-a3ae-844496777584-1&amp;pdp_ext_f=%7B%22order%22%3A%22233%22%2C%22eval%22%3A%221%22%2C%22fromPage%22%3A%22search%22%7D&amp;pdp_npi=6%40dis%21USD%211.66%211.64%21%21%211.66%211.64%21%402103128817623935340803095e0626%2110000007055200458%21sea%21US%216706092971%21X%211%210%21n_tag%3A-29912%3Bd%3Ac7f75a8b%3Bm03_new_user%3A-29895%3BpisId%3A5000000191875952&amp;curPageLogUid=3a4YEQ9yq5mH&amp;utparam-url=scene%3Asearch%7Cquery_from%3A%7Cx_object_id%3A4000747497791%7C_p_origin_prod%3A</t>
    </r>
    <r>
      <rPr>
        <color rgb="FF000000"/>
      </rPr>
      <t xml:space="preserve"> </t>
    </r>
  </si>
  <si>
    <t>Kapton Alternative Polyimide Tape</t>
  </si>
  <si>
    <r>
      <rPr>
        <color rgb="FF1155CC"/>
        <u/>
      </rPr>
      <t>https://www.aliexpress.us/item/3256806090197173.html?spm=a2g0o.order_list.order_list_main.5.21ef18026ZJkgt&amp;gatewayAdapt=glo2usa</t>
    </r>
    <r>
      <rPr/>
      <t xml:space="preserve"> </t>
    </r>
  </si>
  <si>
    <t>4S 14.8V / 16.8V 20A Peak li-ion BMS</t>
  </si>
  <si>
    <r>
      <rPr>
        <color rgb="FF1155CC"/>
        <u/>
      </rPr>
      <t>https://www.aliexpress.us/item/3256807120302984.html?spm=a2g0o.detail.pcDetailBottomMoreOtherSeller.1.22f21zXA1zXAl2&amp;gps-id=pcDetailBottomMoreOtherSeller&amp;scm=1007.40050.354490.0&amp;scm_id=1007.40050.354490.0&amp;scm-url=1007.40050.354490.0&amp;pvid=ef046255-205e-4602-97c8-e1ee9797cb57&amp;_t=gps-id:pcDetailBottomMoreOtherSeller,scm-url:1007.40050.354490.0,pvid:ef046255-205e-4602-97c8-e1ee9797cb57,tpp_buckets:668%232846%238112%231997&amp;isseo=y&amp;pdp_ext_f=%7B%22order%22%3A%229701%22%2C%22eval%22%3A%221%22%2C%22orig_sl_item_id%22%3A%221005007306617736%22%2C%22orig_item_id%22%3A%221005007296858433%22%2C%22sceneId%22%3A%2230050%22%2C%22fromPage%22%3A%22recommend%22%7D&amp;pdp_npi=6%40dis%21USD%213.43%211.72%21%21%2124.32%2112.16%21%402101e2b417623887395244925ecca7%2112000040176986835%21rec%21US%216706092971%21ABX%211%210%21n_tag%3A-29910%3Bd%3Ac7f75a8b%3Bm03_new_user%3A-29895&amp;utparam-url=scene%3ApcDetailBottomMoreOtherSeller%7Cquery_from%3A%7Cx_object_id%3A1005007306617736%7C_p_origin_prod%3A1005007296858433#nav-specification</t>
    </r>
    <r>
      <rPr/>
      <t xml:space="preserve"> </t>
    </r>
  </si>
  <si>
    <t>16 AWG Dual Stranded Wire Spool</t>
  </si>
  <si>
    <r>
      <rPr>
        <color rgb="FF1155CC"/>
        <u/>
      </rPr>
      <t>https://www.aliexpress.us/item/3256801546041992.html?spm=a2g0o.order_list.order_list_main.10.2b2e1802CzLSR8&amp;gatewayAdapt=glo2usa</t>
    </r>
    <r>
      <rPr/>
      <t xml:space="preserve"> </t>
    </r>
  </si>
  <si>
    <t>AC/DC 24V 5A Adaptor</t>
  </si>
  <si>
    <t>https://www.aliexpress.com/p/shoppingcart/index.html?spm=a2g0o.detail.fusionpage.0</t>
  </si>
  <si>
    <t>Digikey Parts ($28.19)</t>
  </si>
  <si>
    <t>https://www.digikey.com/short/rnwh585f</t>
  </si>
  <si>
    <t>Power Jack</t>
  </si>
  <si>
    <t>https://www.amazon.com/LUORNG-Threaded-Connector-Pre-soldered-Waterproof/dp/B09H5L3KN5/ref=sr_1_4?sr=8-4</t>
  </si>
  <si>
    <t xml:space="preserve">Power Connectors </t>
  </si>
  <si>
    <t>https://www.amazon.com/LAIWO-Connector-Terminals-Disconnect-Connectors/dp/B0FQNNRPX8/ref=nav_signin?sr=8-1-spons&amp;sp_csd=d2lkZ2V0TmFtZT1zcF9hdGY&amp;psc=1&amp;claim_type=EmailAddress&amp;new_account=1&amp;</t>
  </si>
  <si>
    <t>Sscon 10pcs Male DC Power Connector 3.5mm x 1.35mm Cable Jack Adapter Connector Plug for Security Camera Green</t>
  </si>
  <si>
    <t>https://www.amazon.com/Sscon-Male-DC-Power-Connector/dp/B07T283YTN?th=1</t>
  </si>
  <si>
    <t>5.5x2.5mm 24V DC Connector</t>
  </si>
  <si>
    <t>https://www.amazon.com/Terminal-5-Pack-Barrel-Connector-Camera/dp/B0FF42J9NS/ref=pd_sbs_d_sccl_2_5/142-9555100-8833743</t>
  </si>
  <si>
    <t>Robotics</t>
  </si>
  <si>
    <t>Jetson Nano Orin</t>
  </si>
  <si>
    <t>https://www.amazon.com/NVIDIA-Jetson-Orin-Nano-Developer/dp/B0BZJTQ5YP/ref=sr_1_1?dib=eyJ2IjoiMSJ9.Z2tX6oRWFxwBFO5BMqbwq_6Z2gy9k-ApL_GlI7-msUjNYaggsvaKUMCnaC1sszXwo86-qT2NCN00AqK0m77EXllf8uuT32JSqPoqxwdTvKr0LTUCszLPH2mNEO2-ONEjlraMGUeUUOdTD2SSudIsYgyw19xXInzCOJD_d1UqGZwggUkq0Dm8CX4uR6x9JeRxbxewX_mI3yp5mHLR4saH3kjOcND_fzAug2t5h6BXM-E.59WJdawG7febcLroFaBLDwGAKrGuoq-akttxgxp7VdA&amp;dib_tag=se&amp;keywords=jetson+orin+nano+dev+kit&amp;qid=1776806301&amp;sr=8-1</t>
  </si>
  <si>
    <t>Practice Soldering Kit</t>
  </si>
  <si>
    <t>Custom ESP32+PCA9685 PCB</t>
  </si>
  <si>
    <t>Ordered from JLCPCB ($190)</t>
  </si>
  <si>
    <t>Polymaker PLA PRO Filament 1.75mm 1kg, Tough &amp; High Rigidity Dark Grey 3D Printing Filament, PolyLite PLA PRO 3D Printer Filament 1.75mm, Print with Most 3D Printers</t>
  </si>
  <si>
    <t>amazon.com/Polymaker-Filament-Powerful-1-75mm-Printer/dp/B0C4LMCJ8R?pd_rd_w=yYHWD&amp;content-id=amzn1.sym.6bb79025-718b-4ad1-b8ec-68027fb35564&amp;pf_rd_p=6bb79025-718b-4ad1-b8ec-68027fb35564&amp;pf_rd_r=R9WTABQEDV50KQ83FZ47&amp;pd_rd_wg=9hvPP&amp;pd_rd_r=e7976068-7446-458e-9376-f30c3d64a528&amp;pd_rd_i=B0C4LMCJ8R&amp;psc=1&amp;ref_=pd_bap_d_grid_rp_hxwhrp_sspa_dk_bia_0_1_ec_t</t>
  </si>
  <si>
    <t>35KG High Torque Coreless Servo Motor</t>
  </si>
  <si>
    <t>https://www.amazon.com/dp/B0B5N4W77Y?ref=ppx_yo2ov_dt_b_fed_asin_title&amp;th=1</t>
  </si>
  <si>
    <t>Voice &amp; Image Recognition</t>
  </si>
  <si>
    <t>ELECROW 5 Inch Touch Screen Monitor for Raspberry Pi 5/4/3B+/3B, BB Black, Banana Pi, Jetson Nano, Windows, PC</t>
  </si>
  <si>
    <r>
      <rPr>
        <color rgb="FF1155CC"/>
        <u/>
      </rPr>
      <t>https://www.amazon.com/dp/B07FDYXPT7?ref=emc_s_m_5_i_atc</t>
    </r>
    <r>
      <rPr/>
      <t xml:space="preserve"> </t>
    </r>
  </si>
  <si>
    <t>Waveshare USB Sound Card and Integrated Microphone</t>
  </si>
  <si>
    <t>https://www.amazon.com/Waveshare-USB-Converter-Raspberry-Driver-Free/dp/B08R38TXXL#averageCustomerReviewsAnchor</t>
  </si>
  <si>
    <t>IIABC Displayport to HDMI Adapter 4K 24K Gold Plated Displayport DP to HDMI Female Converter，Uni-Directional Display Port to HDMI Converter Compatible for Lenovo, HP, Dell &amp;More- Grey</t>
  </si>
  <si>
    <t>https://www.amazon.com/Displayport-Adapter%EF%BC%8CIIABC-Converter%EF%BC%8CUni-Directional-Converter-Compatible/dp/B09MTKHFKR/ref=sr_1_1_sspa?crid=30BJG5XEHKND9&amp;dib=eyJ2IjoiMSJ9.hs7Tz5-a9wewqAjnHU08nlx66DXE_VJih5q4XRlVx7Un8XdkxCQgykUDBSBFoVCMIfwirdciXB4YF-V0_vBGG5WFHecn04b72OYO-03oFkBzpkLPQxoA0sGfOqD4e8Hf0gy8gJKwigT9q6GePRCLpopmlIUc5lQBGike7pE4poygPFahDkRNeSlbTj9smEFjzUKmbjKccaBJkMbgA6e1mlrenQDdYTsH902aC2c6ZKA.2nWM9S2HxfoOM8QmxxfUPdbFxhFOlK8K0ANEQk86zQY&amp;dib_tag=se&amp;keywords=IIABC%2BDisplayport%2Bto%2BHDMI%2BAdapter%2B4K%2B24K%2BGold%2BPlated%2BDisplayport%2BDP%2Bto%2BHDMI%2BFemale%2BConverter%EF%BC%8CUni-Directional%2BDisplay%2BPort%2Bto%2BHDMI%2BConverter%2BCompatible%2Bfor%2BLenovo%2C%2BHP%2C%2BDell%2B%26More-%2BGrey&amp;nsdOptOutParam=true&amp;qid=1776807470&amp;sprefix=iiabc%2Bdisplayport%2Bto%2Bhdmi%2Badapter%2B4k%2B24k%2Bgold%2Bplated%2Bdisplayport%2Bdp%2Bto%2Bhdmi%2Bfemale%2Bconverter%2Buni-directional%2Bdisplay%2Bport%2Bto%2Bhdmi%2Bconverter%2Bcompatible%2Bfor%2Blenovo%2C%2Bhp%2C%2Bdell%2B%26more-%2Bgrey%2Caps%2C127&amp;sr=8-1-spons&amp;sp_csd=d2lkZ2V0TmFtZT1zcF9hdGY&amp;th=1</t>
  </si>
  <si>
    <t>Dweii 4 PCS Speaker 3 Watt 8 Ohm Mini Speaker 8ohm 3w Loundspeaker Micro for Arduino with JST-PH2.0 Interface for Small Electronic Projects Advertising Machines LCD TV Monitors</t>
  </si>
  <si>
    <t>https://www.amazon.com/Dweii-Loundspeaker-JST-PH2-0-Electronic-Advertising/dp/B0B4D1BN4F/ref=sr_1_3?crid=33U2J1SX9TNXW&amp;dib=eyJ2IjoiMSJ9.4uiMBVDTklt30CcwEQc-4uDzj0yPYSIHATJM1WuJYvKxD1yWbW2DJ_uTHNeu-aciOQ51lfAWX4IXDJFcCldYhI2hZU2w5bhgckN9kBdhuR8Hu9TRw27_WUfjcfRByrcCNf86QzefLF--MrwRpoGGzZ-olYLRlXJM2z6FTefnioQQObShcIbmpvygVcu9ZQrlOL9Z7obKnM7mgGOjKd-EugaHcPNmcmyFUSC93hDIJk8.28xwZzSlxaCbVdbT5X0j5_Hs_vpOh57DYpQbld5Xias&amp;dib_tag=se&amp;keywords=Dweii%2B4%2BPCS%2BSpeaker%2B3%2BWatt%2B8%2BOhm%2BMini%2BSpeaker%2B8ohm%2B3w%2BLoundspeaker%2BMicro%2Bfor%2BArduino%2Bwith%2BJST-PH2.0%2BInterface%2Bfor%2BSmall%2BElectronic%2BProjects%2BAdvertising%2BMachines%2BLCD%2BTV%2BMonitors&amp;nsdOptOutParam=true&amp;qid=1776807535&amp;sprefix=dweii%2B4%2Bpcs%2Bspeaker%2B3%2Bwatt%2B8%2Bohm%2Bmini%2Bspeaker%2B8ohm%2B3w%2Bloundspeaker%2Bmicro%2Bfor%2Barduino%2Bwith%2Bjst-ph2.0%2Binterface%2Bfor%2Bsmall%2Belectronic%2Bprojects%2Badvertising%2Bmachines%2Blcd%2Btv%2Bmonitors%2Caps%2C125&amp;sr=8-3&amp;th=1</t>
  </si>
  <si>
    <t>ARDUCAM 16MP IMX519 AUTOFOCUS CA</t>
  </si>
  <si>
    <r>
      <rPr>
        <color rgb="FF1155CC"/>
        <u/>
      </rPr>
      <t>https://www.digikey.com/en/products/detail/arducam/B0371-1/22598757?gclsrc=aw.ds&amp;gad_source=1&amp;gad_campaignid=20243136172&amp;gbraid=0AAAAADrbLljgHgUHB8d1JyE8G5IjqYyuD&amp;gclid=CjwKCAjwpOfHBhAxEiwAm1SwEheRd7-lt8zdMWaaMqLf_X0gM6NUbt-2M60qEYseLo2vAxU8BhWqhxoC5SUQAvD_BwE</t>
    </r>
    <r>
      <rPr/>
      <t xml:space="preserve">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</si>
</sst>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&quot;$&quot;#,##0"/>
    <numFmt numFmtId="166" formatCode="mm/dd/yyyy"/>
    <numFmt numFmtId="167" formatCode="m/d/yyyy"/>
  </numFmts>
  <fonts count="21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color rgb="FF38761D"/>
      <name val="Arial"/>
      <scheme val="minor"/>
    </font>
    <font>
      <u/>
      <color rgb="FF0000FF"/>
    </font>
    <font/>
    <font>
      <b/>
      <color rgb="FF000000"/>
      <name val="Arial"/>
      <scheme val="minor"/>
    </font>
    <font>
      <u/>
      <color rgb="FF0000FF"/>
    </font>
    <font>
      <color rgb="FF0F1111"/>
      <name val="&quot;Amazon Ember&quot;"/>
    </font>
    <font>
      <color rgb="FF0F1111"/>
      <name val="Arial"/>
    </font>
    <font>
      <u/>
      <color rgb="FF0000FF"/>
    </font>
    <font>
      <u/>
      <color rgb="FF0000FF"/>
    </font>
    <font>
      <u/>
      <color rgb="FF0000FF"/>
    </font>
    <font>
      <color rgb="FF121414"/>
      <name val="Arial"/>
      <scheme val="minor"/>
    </font>
    <font>
      <u/>
      <color rgb="FF0000FF"/>
    </font>
    <font>
      <u/>
      <color rgb="FF0000FF"/>
    </font>
    <font>
      <b/>
      <sz val="13.0"/>
      <color theme="1"/>
      <name val="Arial"/>
      <scheme val="minor"/>
    </font>
    <font>
      <u/>
      <color rgb="FF0000FF"/>
    </font>
    <font>
      <u/>
      <color rgb="FF0000FF"/>
    </font>
    <font>
      <sz val="9.0"/>
      <color rgb="FF33333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</fills>
  <borders count="26">
    <border/>
    <border>
      <right style="thin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thin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left style="medium">
        <color rgb="FF000000"/>
      </lef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medium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</border>
    <border>
      <left style="thick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readingOrder="0"/>
    </xf>
    <xf borderId="6" fillId="2" fontId="2" numFmtId="0" xfId="0" applyAlignment="1" applyBorder="1" applyFont="1">
      <alignment readingOrder="0"/>
    </xf>
    <xf borderId="7" fillId="2" fontId="2" numFmtId="0" xfId="0" applyAlignment="1" applyBorder="1" applyFont="1">
      <alignment readingOrder="0"/>
    </xf>
    <xf borderId="8" fillId="2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3" fontId="3" numFmtId="0" xfId="0" applyAlignment="1" applyBorder="1" applyFill="1" applyFont="1">
      <alignment horizontal="center" readingOrder="0" textRotation="90" vertical="center"/>
    </xf>
    <xf borderId="1" fillId="0" fontId="4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left" readingOrder="0" shrinkToFit="0" wrapText="0"/>
    </xf>
    <xf borderId="0" fillId="0" fontId="5" numFmtId="164" xfId="0" applyAlignment="1" applyFont="1" applyNumberFormat="1">
      <alignment horizontal="left" readingOrder="0" shrinkToFit="0" wrapText="0"/>
    </xf>
    <xf borderId="0" fillId="0" fontId="1" numFmtId="164" xfId="0" applyAlignment="1" applyFont="1" applyNumberFormat="1">
      <alignment horizontal="left" readingOrder="0"/>
    </xf>
    <xf borderId="0" fillId="0" fontId="1" numFmtId="10" xfId="0" applyAlignment="1" applyFont="1" applyNumberFormat="1">
      <alignment horizontal="left"/>
    </xf>
    <xf borderId="11" fillId="0" fontId="1" numFmtId="4" xfId="0" applyAlignment="1" applyBorder="1" applyFont="1" applyNumberFormat="1">
      <alignment horizontal="left"/>
    </xf>
    <xf borderId="0" fillId="0" fontId="1" numFmtId="0" xfId="0" applyAlignment="1" applyFont="1">
      <alignment horizontal="left"/>
    </xf>
    <xf borderId="12" fillId="0" fontId="1" numFmtId="164" xfId="0" applyAlignment="1" applyBorder="1" applyFont="1" applyNumberFormat="1">
      <alignment horizontal="left"/>
    </xf>
    <xf borderId="13" fillId="0" fontId="1" numFmtId="49" xfId="0" applyBorder="1" applyFont="1" applyNumberFormat="1"/>
    <xf borderId="10" fillId="0" fontId="6" numFmtId="0" xfId="0" applyBorder="1" applyFont="1"/>
    <xf borderId="1" fillId="2" fontId="4" numFmtId="0" xfId="0" applyAlignment="1" applyBorder="1" applyFont="1">
      <alignment horizontal="center" shrinkToFit="0" wrapText="0"/>
    </xf>
    <xf borderId="0" fillId="2" fontId="4" numFmtId="0" xfId="0" applyAlignment="1" applyFont="1">
      <alignment horizontal="center" shrinkToFit="0" wrapText="0"/>
    </xf>
    <xf borderId="0" fillId="2" fontId="1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0" xfId="0" applyAlignment="1" applyFont="1">
      <alignment horizontal="left" readingOrder="0" shrinkToFit="0" wrapText="0"/>
    </xf>
    <xf borderId="0" fillId="2" fontId="1" numFmtId="164" xfId="0" applyAlignment="1" applyFont="1" applyNumberFormat="1">
      <alignment horizontal="left" readingOrder="0"/>
    </xf>
    <xf borderId="0" fillId="2" fontId="1" numFmtId="10" xfId="0" applyAlignment="1" applyFont="1" applyNumberFormat="1">
      <alignment horizontal="left"/>
    </xf>
    <xf borderId="11" fillId="2" fontId="1" numFmtId="4" xfId="0" applyAlignment="1" applyBorder="1" applyFont="1" applyNumberFormat="1">
      <alignment horizontal="left"/>
    </xf>
    <xf borderId="0" fillId="2" fontId="1" numFmtId="0" xfId="0" applyAlignment="1" applyFont="1">
      <alignment horizontal="center" shrinkToFit="0" wrapText="0"/>
    </xf>
    <xf borderId="0" fillId="2" fontId="1" numFmtId="0" xfId="0" applyAlignment="1" applyFont="1">
      <alignment horizontal="left" shrinkToFit="0" wrapText="0"/>
    </xf>
    <xf borderId="0" fillId="4" fontId="2" numFmtId="0" xfId="0" applyAlignment="1" applyFill="1" applyFont="1">
      <alignment horizontal="left" readingOrder="0"/>
    </xf>
    <xf borderId="0" fillId="4" fontId="1" numFmtId="0" xfId="0" applyFont="1"/>
    <xf borderId="0" fillId="2" fontId="1" numFmtId="0" xfId="0" applyAlignment="1" applyFont="1">
      <alignment horizontal="left" shrinkToFit="0" wrapText="0"/>
    </xf>
    <xf borderId="0" fillId="2" fontId="1" numFmtId="164" xfId="0" applyAlignment="1" applyFont="1" applyNumberFormat="1">
      <alignment horizontal="left"/>
    </xf>
    <xf borderId="14" fillId="0" fontId="6" numFmtId="0" xfId="0" applyBorder="1" applyFont="1"/>
    <xf borderId="15" fillId="5" fontId="7" numFmtId="0" xfId="0" applyAlignment="1" applyBorder="1" applyFill="1" applyFont="1">
      <alignment horizontal="center" readingOrder="0" shrinkToFit="0" wrapText="0"/>
    </xf>
    <xf borderId="16" fillId="0" fontId="6" numFmtId="0" xfId="0" applyBorder="1" applyFont="1"/>
    <xf borderId="17" fillId="5" fontId="2" numFmtId="165" xfId="0" applyAlignment="1" applyBorder="1" applyFont="1" applyNumberFormat="1">
      <alignment horizontal="center" readingOrder="0" shrinkToFit="0" wrapText="0"/>
    </xf>
    <xf borderId="18" fillId="6" fontId="1" numFmtId="0" xfId="0" applyAlignment="1" applyBorder="1" applyFill="1" applyFont="1">
      <alignment horizontal="center" shrinkToFit="0" wrapText="0"/>
    </xf>
    <xf borderId="18" fillId="0" fontId="6" numFmtId="0" xfId="0" applyBorder="1" applyFont="1"/>
    <xf borderId="19" fillId="0" fontId="6" numFmtId="0" xfId="0" applyBorder="1" applyFont="1"/>
    <xf borderId="10" fillId="7" fontId="3" numFmtId="0" xfId="0" applyAlignment="1" applyBorder="1" applyFill="1" applyFont="1">
      <alignment horizontal="center" readingOrder="0" textRotation="90" vertical="center"/>
    </xf>
    <xf borderId="0" fillId="0" fontId="1" numFmtId="166" xfId="0" applyAlignment="1" applyFont="1" applyNumberFormat="1">
      <alignment horizontal="center" readingOrder="0" shrinkToFit="0" wrapText="0"/>
    </xf>
    <xf borderId="0" fillId="0" fontId="1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0"/>
    </xf>
    <xf borderId="1" fillId="8" fontId="4" numFmtId="0" xfId="0" applyAlignment="1" applyBorder="1" applyFill="1" applyFont="1">
      <alignment horizontal="center" readingOrder="0"/>
    </xf>
    <xf borderId="0" fillId="8" fontId="4" numFmtId="0" xfId="0" applyAlignment="1" applyFont="1">
      <alignment horizontal="center" readingOrder="0"/>
    </xf>
    <xf borderId="0" fillId="8" fontId="9" numFmtId="166" xfId="0" applyAlignment="1" applyFont="1" applyNumberFormat="1">
      <alignment horizontal="center" readingOrder="0"/>
    </xf>
    <xf borderId="0" fillId="8" fontId="10" numFmtId="0" xfId="0" applyAlignment="1" applyFont="1">
      <alignment horizontal="center" readingOrder="0"/>
    </xf>
    <xf borderId="0" fillId="8" fontId="10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readingOrder="0" shrinkToFit="0" wrapText="0"/>
    </xf>
    <xf borderId="0" fillId="0" fontId="12" numFmtId="164" xfId="0" applyAlignment="1" applyFont="1" applyNumberFormat="1">
      <alignment horizontal="left" readingOrder="0" shrinkToFit="0" wrapText="0"/>
    </xf>
    <xf borderId="0" fillId="8" fontId="10" numFmtId="0" xfId="0" applyAlignment="1" applyFont="1">
      <alignment readingOrder="0"/>
    </xf>
    <xf borderId="0" fillId="0" fontId="1" numFmtId="4" xfId="0" applyAlignment="1" applyFont="1" applyNumberFormat="1">
      <alignment horizontal="left"/>
    </xf>
    <xf borderId="20" fillId="0" fontId="1" numFmtId="0" xfId="0" applyAlignment="1" applyBorder="1" applyFont="1">
      <alignment horizontal="left"/>
    </xf>
    <xf borderId="1" fillId="4" fontId="4" numFmtId="0" xfId="0" applyAlignment="1" applyBorder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4" fontId="10" numFmtId="166" xfId="0" applyAlignment="1" applyFont="1" applyNumberFormat="1">
      <alignment horizontal="center" readingOrder="0"/>
    </xf>
    <xf borderId="0" fillId="4" fontId="10" numFmtId="0" xfId="0" applyAlignment="1" applyFont="1">
      <alignment horizontal="center" readingOrder="0"/>
    </xf>
    <xf borderId="0" fillId="4" fontId="9" numFmtId="0" xfId="0" applyAlignment="1" applyFont="1">
      <alignment readingOrder="0"/>
    </xf>
    <xf borderId="0" fillId="4" fontId="13" numFmtId="0" xfId="0" applyAlignment="1" applyFont="1">
      <alignment readingOrder="0"/>
    </xf>
    <xf borderId="0" fillId="4" fontId="1" numFmtId="164" xfId="0" applyAlignment="1" applyFont="1" applyNumberFormat="1">
      <alignment horizontal="left" readingOrder="0"/>
    </xf>
    <xf borderId="0" fillId="4" fontId="1" numFmtId="10" xfId="0" applyAlignment="1" applyFont="1" applyNumberFormat="1">
      <alignment horizontal="left"/>
    </xf>
    <xf borderId="11" fillId="4" fontId="1" numFmtId="4" xfId="0" applyAlignment="1" applyBorder="1" applyFont="1" applyNumberFormat="1">
      <alignment horizontal="left"/>
    </xf>
    <xf borderId="16" fillId="5" fontId="7" numFmtId="0" xfId="0" applyAlignment="1" applyBorder="1" applyFont="1">
      <alignment horizontal="center" readingOrder="0" shrinkToFit="0" wrapText="0"/>
    </xf>
    <xf borderId="17" fillId="5" fontId="2" numFmtId="164" xfId="0" applyAlignment="1" applyBorder="1" applyFont="1" applyNumberFormat="1">
      <alignment horizontal="center" readingOrder="0" shrinkToFit="0" wrapText="0"/>
    </xf>
    <xf borderId="18" fillId="6" fontId="1" numFmtId="0" xfId="0" applyAlignment="1" applyBorder="1" applyFont="1">
      <alignment horizontal="center" readingOrder="0" shrinkToFit="0" wrapText="0"/>
    </xf>
    <xf borderId="10" fillId="9" fontId="3" numFmtId="0" xfId="0" applyAlignment="1" applyBorder="1" applyFill="1" applyFont="1">
      <alignment horizontal="center" readingOrder="0" textRotation="90" vertical="center"/>
    </xf>
    <xf borderId="0" fillId="0" fontId="14" numFmtId="167" xfId="0" applyAlignment="1" applyFont="1" applyNumberFormat="1">
      <alignment horizontal="center" readingOrder="0" shrinkToFit="0" wrapText="0"/>
    </xf>
    <xf borderId="0" fillId="0" fontId="14" numFmtId="0" xfId="0" applyAlignment="1" applyFont="1">
      <alignment horizontal="center" readingOrder="0" shrinkToFit="0" wrapText="0"/>
    </xf>
    <xf borderId="0" fillId="0" fontId="14" numFmtId="0" xfId="0" applyAlignment="1" applyFont="1">
      <alignment horizontal="left" readingOrder="0" shrinkToFit="0" wrapText="0"/>
    </xf>
    <xf borderId="0" fillId="0" fontId="14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4" numFmtId="0" xfId="0" applyAlignment="1" applyFont="1">
      <alignment readingOrder="0"/>
    </xf>
    <xf borderId="0" fillId="0" fontId="14" numFmtId="166" xfId="0" applyAlignment="1" applyFont="1" applyNumberFormat="1">
      <alignment horizontal="center" readingOrder="0"/>
    </xf>
    <xf borderId="0" fillId="0" fontId="14" numFmtId="0" xfId="0" applyAlignment="1" applyFont="1">
      <alignment horizontal="center" readingOrder="0"/>
    </xf>
    <xf borderId="1" fillId="4" fontId="4" numFmtId="0" xfId="0" applyAlignment="1" applyBorder="1" applyFont="1">
      <alignment horizontal="center" readingOrder="0" shrinkToFit="0" wrapText="0"/>
    </xf>
    <xf borderId="0" fillId="4" fontId="4" numFmtId="0" xfId="0" applyAlignment="1" applyFont="1">
      <alignment horizontal="center" readingOrder="0" shrinkToFit="0" wrapText="0"/>
    </xf>
    <xf borderId="0" fillId="4" fontId="14" numFmtId="166" xfId="0" applyAlignment="1" applyFont="1" applyNumberFormat="1">
      <alignment horizontal="center" readingOrder="0"/>
    </xf>
    <xf borderId="0" fillId="4" fontId="14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15" numFmtId="0" xfId="0" applyAlignment="1" applyFont="1">
      <alignment readingOrder="0"/>
    </xf>
    <xf borderId="0" fillId="4" fontId="14" numFmtId="0" xfId="0" applyAlignment="1" applyFont="1">
      <alignment horizontal="left" readingOrder="0" shrinkToFit="0" wrapText="0"/>
    </xf>
    <xf borderId="0" fillId="4" fontId="16" numFmtId="164" xfId="0" applyAlignment="1" applyFont="1" applyNumberFormat="1">
      <alignment horizontal="left" readingOrder="0" shrinkToFit="0" wrapText="0"/>
    </xf>
    <xf borderId="0" fillId="4" fontId="14" numFmtId="164" xfId="0" applyAlignment="1" applyFont="1" applyNumberFormat="1">
      <alignment horizontal="left" readingOrder="0"/>
    </xf>
    <xf borderId="1" fillId="2" fontId="4" numFmtId="0" xfId="0" applyAlignment="1" applyBorder="1" applyFon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center"/>
    </xf>
    <xf borderId="0" fillId="2" fontId="1" numFmtId="0" xfId="0" applyFont="1"/>
    <xf borderId="0" fillId="2" fontId="1" numFmtId="0" xfId="0" applyAlignment="1" applyFont="1">
      <alignment horizontal="left" readingOrder="0" shrinkToFit="0" wrapText="0"/>
    </xf>
    <xf borderId="18" fillId="6" fontId="1" numFmtId="0" xfId="0" applyAlignment="1" applyBorder="1" applyFont="1">
      <alignment horizontal="left" readingOrder="0" shrinkToFit="0" wrapText="0"/>
    </xf>
    <xf borderId="18" fillId="6" fontId="1" numFmtId="0" xfId="0" applyAlignment="1" applyBorder="1" applyFont="1">
      <alignment horizontal="left" readingOrder="0" shrinkToFit="0" wrapText="0"/>
    </xf>
    <xf borderId="18" fillId="6" fontId="1" numFmtId="164" xfId="0" applyAlignment="1" applyBorder="1" applyFont="1" applyNumberFormat="1">
      <alignment horizontal="left" readingOrder="0"/>
    </xf>
    <xf borderId="18" fillId="6" fontId="1" numFmtId="10" xfId="0" applyAlignment="1" applyBorder="1" applyFont="1" applyNumberFormat="1">
      <alignment horizontal="left"/>
    </xf>
    <xf borderId="19" fillId="6" fontId="1" numFmtId="4" xfId="0" applyAlignment="1" applyBorder="1" applyFont="1" applyNumberFormat="1">
      <alignment horizontal="left"/>
    </xf>
    <xf borderId="10" fillId="10" fontId="17" numFmtId="0" xfId="0" applyAlignment="1" applyBorder="1" applyFill="1" applyFont="1">
      <alignment horizontal="center" readingOrder="0" textRotation="90" vertical="center"/>
    </xf>
    <xf borderId="0" fillId="0" fontId="1" numFmtId="167" xfId="0" applyAlignment="1" applyFont="1" applyNumberFormat="1">
      <alignment horizontal="center" readingOrder="0" shrinkToFit="0" wrapText="0"/>
    </xf>
    <xf borderId="0" fillId="0" fontId="1" numFmtId="0" xfId="0" applyAlignment="1" applyFont="1">
      <alignment horizontal="left" shrinkToFit="0" wrapText="0"/>
    </xf>
    <xf borderId="0" fillId="0" fontId="18" numFmtId="0" xfId="0" applyAlignment="1" applyFont="1">
      <alignment readingOrder="0"/>
    </xf>
    <xf borderId="0" fillId="0" fontId="1" numFmtId="164" xfId="0" applyAlignment="1" applyFont="1" applyNumberFormat="1">
      <alignment horizontal="left"/>
    </xf>
    <xf borderId="0" fillId="0" fontId="4" numFmtId="0" xfId="0" applyAlignment="1" applyFont="1">
      <alignment horizontal="center" shrinkToFit="0" wrapText="0"/>
    </xf>
    <xf borderId="0" fillId="0" fontId="19" numFmtId="0" xfId="0" applyAlignment="1" applyFont="1">
      <alignment readingOrder="0"/>
    </xf>
    <xf borderId="0" fillId="0" fontId="1" numFmtId="0" xfId="0" applyFont="1"/>
    <xf borderId="21" fillId="0" fontId="6" numFmtId="0" xfId="0" applyBorder="1" applyFont="1"/>
    <xf borderId="22" fillId="5" fontId="7" numFmtId="0" xfId="0" applyAlignment="1" applyBorder="1" applyFont="1">
      <alignment horizontal="center" readingOrder="0" shrinkToFit="0" wrapText="0"/>
    </xf>
    <xf borderId="23" fillId="0" fontId="6" numFmtId="0" xfId="0" applyBorder="1" applyFont="1"/>
    <xf borderId="24" fillId="5" fontId="2" numFmtId="164" xfId="0" applyAlignment="1" applyBorder="1" applyFont="1" applyNumberFormat="1">
      <alignment horizontal="center" shrinkToFit="0" wrapText="0"/>
    </xf>
    <xf borderId="0" fillId="11" fontId="1" numFmtId="0" xfId="0" applyAlignment="1" applyFill="1" applyFont="1">
      <alignment horizontal="center" shrinkToFit="0" wrapText="0"/>
    </xf>
    <xf borderId="11" fillId="0" fontId="6" numFmtId="0" xfId="0" applyBorder="1" applyFont="1"/>
    <xf borderId="25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 shrinkToFit="0" wrapText="0"/>
    </xf>
    <xf borderId="0" fillId="8" fontId="20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mazon.com/dp/B01HPSRXJ0?_encoding=UTF8&amp;psc=1&amp;ref_=cm_sw_r_cp_ud_dp_1CJAMKG39ZMQF5PBV0QA" TargetMode="External"/><Relationship Id="rId22" Type="http://schemas.openxmlformats.org/officeDocument/2006/relationships/hyperlink" Target="https://www.amazon.com/dp/B0B5N4W77Y?ref=ppx_yo2ov_dt_b_fed_asin_title&amp;th=1" TargetMode="External"/><Relationship Id="rId21" Type="http://schemas.openxmlformats.org/officeDocument/2006/relationships/hyperlink" Target="http://amazon.com/Polymaker-Filament-Powerful-1-75mm-Printer/dp/B0C4LMCJ8R?pd_rd_w=yYHWD&amp;content-id=amzn1.sym.6bb79025-718b-4ad1-b8ec-68027fb35564&amp;pf_rd_p=6bb79025-718b-4ad1-b8ec-68027fb35564&amp;pf_rd_r=R9WTABQEDV50KQ83FZ47&amp;pd_rd_wg=9hvPP&amp;pd_rd_r=e7976068-7446-458e-9376-f30c3d64a528&amp;pd_rd_i=B0C4LMCJ8R&amp;psc=1&amp;ref_=pd_bap_d_grid_rp_hxwhrp_sspa_dk_bia_0_1_ec_t" TargetMode="External"/><Relationship Id="rId24" Type="http://schemas.openxmlformats.org/officeDocument/2006/relationships/hyperlink" Target="https://www.amazon.com/Waveshare-USB-Converter-Raspberry-Driver-Free/dp/B08R38TXXL" TargetMode="External"/><Relationship Id="rId23" Type="http://schemas.openxmlformats.org/officeDocument/2006/relationships/hyperlink" Target="https://www.amazon.com/dp/B07FDYXPT7?ref=emc_s_m_5_i_atc" TargetMode="External"/><Relationship Id="rId1" Type="http://schemas.openxmlformats.org/officeDocument/2006/relationships/hyperlink" Target="https://www.walmart.com/ip/945-13766-0000-000-NVIDIA-Jetson-Orin-Nano-Developer-Kit/2719583090?wmlspartner=wlpa&amp;selectedSellerId=102764212" TargetMode="External"/><Relationship Id="rId2" Type="http://schemas.openxmlformats.org/officeDocument/2006/relationships/hyperlink" Target="https://www.amazon.com/0-15x6x50mm-Soldering-Capacity-Lithium-Battery/dp/B07PQP55CM/ref=sr_1_6?dib=eyJ2IjoiMSJ9.4Gg0bnRAJzM7OTvCCfyTkfDy3fHSMxq1fRM2AjLKmIbb4amlv_uWQhaUB6Uif-qacdqquVqOpGe2dQG70QNNaz43W5TdAuffV_4LQSsIxZylI7aQ1CufMql9m-iAbfOEQ7zEhMcleAu1ysaM4_zLYnMNrUlUIRjfIjYeqQgLwvrBPxQ__pdLhYAvbWnGNuutHKk8FVm3qmbb5AgSl9xGvNHnFk7EGwW5MIq51MSfI21UrAL9KpzYGZ_onta4le32YBw8Bbq41xMc2iqGop6lq6iHTErkRwk80o4Uk9goGpQ.VfbEBn5YvcYnn3nnPSXr0-3vzad7GAZSfQLkpNLFbk4&amp;dib_tag=se&amp;keywords=SHONAN%2BPure%2BNickel%2BStrip%2B99.6%25%2BNickel%2C%2B2%2BInches%2BNickel%2BStrips%2C%2B0.15x6x50mm%2BSoldering%2BTabs%2Bfor%2BHigh%2BCapacity%2B18650%2BLithium%2BBattery%2BPack%2C%2BLi-Po%2C%2BNiMh%2Band%2BNiCd%2BBattery%2BPack%2Band%2BSpot%2BWelding%2C%2B50%2BPcs&amp;nsdOptOutParam=true&amp;qid=1776807131&amp;sr=8-6&amp;th=1" TargetMode="External"/><Relationship Id="rId3" Type="http://schemas.openxmlformats.org/officeDocument/2006/relationships/hyperlink" Target="https://www.amazon.com/Battery-Shrink-18650-Lithium-Length/dp/B0CWDSZYYL/ref=sr_1_3?crid=3CCE3QPVKA61I&amp;dib=eyJ2IjoiMSJ9.vs2cpab9P-I2JoKzMMXJ45KqWTMJ3o2p9b1EidNSsi9h3un0i3ew_AFxFmeMo_8LhzNwyp6WMJ-x-ubS9jHlJlx6eJ2r7Gll4GOZ7k6rL_UDAttCK12G1i8l-AbS19ZEwhNyqqi7U1sbVxGtwj4hZwBuoI8VfBSstbz30qOPjaH1jPeYamiaaynZsLX4tq6juLubWitaA9jfTpSoGuL8aM4RpD8MSiKPiLsYCS37qsM.7dh1RhuoFHJSn2_RV3vimfVddMvOmce2ZhH4QC8LxvE&amp;dib_tag=se&amp;keywords=PVC+Heat+Shrink+Wrap+Tube%2C+Battery+Wrap+for+18650+21700+26650+Lithium+Battery+DIY+Battery+Packs+Flat+Width+3.9in%28100mm%29+Length+9.9ft+%283m%29+Blue&amp;nsdOptOutParam=true&amp;qid=1776807179&amp;sprefix=pvc+heat+shrink+wrap+tube%2C+battery+wrap+for+18650+21700+26650+lithium+battery+diy+battery+packs+flat+width+3.9in+100mm+length+9.9ft+3m+blue%2Caps%2C241&amp;sr=8-3" TargetMode="External"/><Relationship Id="rId4" Type="http://schemas.openxmlformats.org/officeDocument/2006/relationships/hyperlink" Target="https://www.amazon.com/SEESII-Battery-Spot-Welder-Built/dp/B0F9Y8VXP5/ref=sr_1_1_sspa?crid=29SCDKAMJN7D6&amp;dib=eyJ2IjoiMSJ9.ZGDt797zmQn9Pl9OIfGJ_PcsulmZ_g22QiGZzfIeHJmjGJ44nthTdhj9sAu5lUVVFcA1R-0392gG7nwf4qP7MTCFpHM-x-j31O-Sq9rGQdSLTv1b2SLQcNZKtTlLCggiF7aIleqRLqdIW_nWq-yvXz0mgczaxf1y-fsRF7T2tQUPxX-poksblR-GeVQ5wHVtYrkLEy8libayjc_iInEqm0NXZab2uld6w7QT1WH7Fm22khOofeUZvA3Qf4z05n-eelp8U2LF3cAfennp0tekNsNghLFfcrkTkzRdhoSDAiM.R-s_NDjv-ZHId-ehTNHPbLVfKSZsJw7rnYcuxFbzjt8&amp;dib_tag=se&amp;keywords=Battery+Spot+Welder%2C+Portable+Handheld+Battery+Spot+Welder+for+Lithium+Batteries%2C+18650+Battery%2C+0.1-0.25mm+Nickel+Strips%2C+Welding+Nickel+Sheets%2C+Iron%2C+11+Gear+Adjustable+and+Auto+Manual+Modes&amp;nsdOptOutParam=true&amp;qid=1776807202&amp;sprefix=battery+spot+welder%2C+portable+handheld+battery+spot+welder+for+lithium+batteries%2C+18650+battery%2C+0.1-0.25mm+nickel+strips%2C+welding+nickel+sheets%2C+iron%2C+11+gear+adjustable+and+auto+manual+modes%2Caps%2C248&amp;sr=8-1-spons&amp;sp_csd=d2lkZ2V0TmFtZT1zcF9hdGY&amp;psc=1" TargetMode="External"/><Relationship Id="rId9" Type="http://schemas.openxmlformats.org/officeDocument/2006/relationships/hyperlink" Target="https://www.amazon.com/JichuET-Electrical-Insulating-Thickness-Insulator/dp/B0DHYTVBTJ/ref=sr_1_3_sspa?s=office-products&amp;sr=1-3-spons&amp;sp_csd=d2lkZ2V0TmFtZT1zcF9tdGY" TargetMode="External"/><Relationship Id="rId26" Type="http://schemas.openxmlformats.org/officeDocument/2006/relationships/hyperlink" Target="https://www.amazon.com/Dweii-Loundspeaker-JST-PH2-0-Electronic-Advertising/dp/B0B4D1BN4F/ref=sr_1_3?crid=33U2J1SX9TNXW&amp;dib=eyJ2IjoiMSJ9.4uiMBVDTklt30CcwEQc-4uDzj0yPYSIHATJM1WuJYvKxD1yWbW2DJ_uTHNeu-aciOQ51lfAWX4IXDJFcCldYhI2hZU2w5bhgckN9kBdhuR8Hu9TRw27_WUfjcfRByrcCNf86QzefLF--MrwRpoGGzZ-olYLRlXJM2z6FTefnioQQObShcIbmpvygVcu9ZQrlOL9Z7obKnM7mgGOjKd-EugaHcPNmcmyFUSC93hDIJk8.28xwZzSlxaCbVdbT5X0j5_Hs_vpOh57DYpQbld5Xias&amp;dib_tag=se&amp;keywords=Dweii%2B4%2BPCS%2BSpeaker%2B3%2BWatt%2B8%2BOhm%2BMini%2BSpeaker%2B8ohm%2B3w%2BLoundspeaker%2BMicro%2Bfor%2BArduino%2Bwith%2BJST-PH2.0%2BInterface%2Bfor%2BSmall%2BElectronic%2BProjects%2BAdvertising%2BMachines%2BLCD%2BTV%2BMonitors&amp;nsdOptOutParam=true&amp;qid=1776807535&amp;sprefix=dweii%2B4%2Bpcs%2Bspeaker%2B3%2Bwatt%2B8%2Bohm%2Bmini%2Bspeaker%2B8ohm%2B3w%2Bloundspeaker%2Bmicro%2Bfor%2Barduino%2Bwith%2Bjst-ph2.0%2Binterface%2Bfor%2Bsmall%2Belectronic%2Bprojects%2Badvertising%2Bmachines%2Blcd%2Btv%2Bmonitors%2Caps%2C125&amp;sr=8-3&amp;th=1" TargetMode="External"/><Relationship Id="rId25" Type="http://schemas.openxmlformats.org/officeDocument/2006/relationships/hyperlink" Target="https://www.amazon.com/Displayport-Adapter%EF%BC%8CIIABC-Converter%EF%BC%8CUni-Directional-Converter-Compatible/dp/B09MTKHFKR/ref=sr_1_1_sspa?crid=30BJG5XEHKND9&amp;dib=eyJ2IjoiMSJ9.hs7Tz5-a9wewqAjnHU08nlx66DXE_VJih5q4XRlVx7Un8XdkxCQgykUDBSBFoVCMIfwirdciXB4YF-V0_vBGG5WFHecn04b72OYO-03oFkBzpkLPQxoA0sGfOqD4e8Hf0gy8gJKwigT9q6GePRCLpopmlIUc5lQBGike7pE4poygPFahDkRNeSlbTj9smEFjzUKmbjKccaBJkMbgA6e1mlrenQDdYTsH902aC2c6ZKA.2nWM9S2HxfoOM8QmxxfUPdbFxhFOlK8K0ANEQk86zQY&amp;dib_tag=se&amp;keywords=IIABC%2BDisplayport%2Bto%2BHDMI%2BAdapter%2B4K%2B24K%2BGold%2BPlated%2BDisplayport%2BDP%2Bto%2BHDMI%2BFemale%2BConverter%EF%BC%8CUni-Directional%2BDisplay%2BPort%2Bto%2BHDMI%2BConverter%2BCompatible%2Bfor%2BLenovo%2C%2BHP%2C%2BDell%2B%26More-%2BGrey&amp;nsdOptOutParam=true&amp;qid=1776807470&amp;sprefix=iiabc%2Bdisplayport%2Bto%2Bhdmi%2Badapter%2B4k%2B24k%2Bgold%2Bplated%2Bdisplayport%2Bdp%2Bto%2Bhdmi%2Bfemale%2Bconverter%2Buni-directional%2Bdisplay%2Bport%2Bto%2Bhdmi%2Bconverter%2Bcompatible%2Bfor%2Blenovo%2C%2Bhp%2C%2Bdell%2B%26more-%2Bgrey%2Caps%2C127&amp;sr=8-1-spons&amp;sp_csd=d2lkZ2V0TmFtZT1zcF9hdGY&amp;th=1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digikey.com/en/products/detail/arducam/B0371-1/22598757?gclsrc=aw.ds&amp;gad_source=1&amp;gad_campaignid=20243136172&amp;gbraid=0AAAAADrbLljgHgUHB8d1JyE8G5IjqYyuD&amp;gclid=CjwKCAjwpOfHBhAxEiwAm1SwEheRd7-lt8zdMWaaMqLf_X0gM6NUbt-2M60qEYseLo2vAxU8BhWqhxoC5SUQAvD_BwE" TargetMode="External"/><Relationship Id="rId5" Type="http://schemas.openxmlformats.org/officeDocument/2006/relationships/hyperlink" Target="https://www.amazon.com/dp/B01HPSRXJ0?_encoding=UTF8&amp;psc=1&amp;ref_=cm_sw_r_cp_ud_dp_1CJAMKG39ZMQF5PBV0QA" TargetMode="External"/><Relationship Id="rId6" Type="http://schemas.openxmlformats.org/officeDocument/2006/relationships/hyperlink" Target="https://www.molicel.com/wp-content/uploads/INR18650P26A-V2-80087.pdf" TargetMode="External"/><Relationship Id="rId7" Type="http://schemas.openxmlformats.org/officeDocument/2006/relationships/hyperlink" Target="https://www.digikey.com/short/b7t09trj" TargetMode="External"/><Relationship Id="rId8" Type="http://schemas.openxmlformats.org/officeDocument/2006/relationships/hyperlink" Target="https://www.amazon.com/Kapton-Alternative-Polyimide-Tape-Yard/dp/B079VM5R7W" TargetMode="External"/><Relationship Id="rId11" Type="http://schemas.openxmlformats.org/officeDocument/2006/relationships/hyperlink" Target="https://www.aliexpress.com/p/tesla-landing/index.html?scenario=c_ppc_item_bridge&amp;productId=3256809113477294&amp;_immersiveMode=true&amp;withMainCard=true&amp;isdl=y" TargetMode="External"/><Relationship Id="rId10" Type="http://schemas.openxmlformats.org/officeDocument/2006/relationships/hyperlink" Target="https://www.aliexpress.us/item/3256806090197173.html?spm=a2g0o.order_list.order_list_main.5.21ef18026ZJkgt&amp;gatewayAdapt=glo2usa" TargetMode="External"/><Relationship Id="rId13" Type="http://schemas.openxmlformats.org/officeDocument/2006/relationships/hyperlink" Target="https://www.amazon.com/Facmogu-Converter-100V-240V-Transformer-5-5x2-5mm/dp/B087LY94T6/ref=sr_1_3?sr=8-3" TargetMode="External"/><Relationship Id="rId12" Type="http://schemas.openxmlformats.org/officeDocument/2006/relationships/hyperlink" Target="https://www.aliexpress.us/item/3256801546041992.html?spm=a2g0o.order_list.order_list_main.10.2b2e1802CzLSR8&amp;gatewayAdapt=glo2usa" TargetMode="External"/><Relationship Id="rId15" Type="http://schemas.openxmlformats.org/officeDocument/2006/relationships/hyperlink" Target="https://www.amazon.com/LUORNG-Threaded-Connector-Pre-soldered-Waterproof/dp/B09H5L3KN5/ref=sr_1_4?sr=8-4" TargetMode="External"/><Relationship Id="rId14" Type="http://schemas.openxmlformats.org/officeDocument/2006/relationships/hyperlink" Target="https://www.digikey.com/short/rnwh585f" TargetMode="External"/><Relationship Id="rId17" Type="http://schemas.openxmlformats.org/officeDocument/2006/relationships/hyperlink" Target="https://www.amazon.com/Sscon-Male-DC-Power-Connector/dp/B07T283YTN?th=1" TargetMode="External"/><Relationship Id="rId16" Type="http://schemas.openxmlformats.org/officeDocument/2006/relationships/hyperlink" Target="https://www.amazon.com/LAIWO-Connector-Terminals-Disconnect-Connectors/dp/B0FQNNRPX8/ref=nav_signin?sr=8-1-spons&amp;sp_csd=d2lkZ2V0TmFtZT1zcF9hdGY&amp;psc=1&amp;claim_type=EmailAddress&amp;new_account=1&amp;" TargetMode="External"/><Relationship Id="rId19" Type="http://schemas.openxmlformats.org/officeDocument/2006/relationships/hyperlink" Target="https://www.amazon.com/NVIDIA-Jetson-Orin-Nano-Developer/dp/B0BZJTQ5YP/ref=sr_1_1?dib=eyJ2IjoiMSJ9.Z2tX6oRWFxwBFO5BMqbwq_6Z2gy9k-ApL_GlI7-msUjNYaggsvaKUMCnaC1sszXwo86-qT2NCN00AqK0m77EXllf8uuT32JSqPoqxwdTvKr0LTUCszLPH2mNEO2-ONEjlraMGUeUUOdTD2SSudIsYgyw19xXInzCOJD_d1UqGZwggUkq0Dm8CX4uR6x9JeRxbxewX_mI3yp5mHLR4saH3kjOcND_fzAug2t5h6BXM-E.59WJdawG7febcLroFaBLDwGAKrGuoq-akttxgxp7VdA&amp;dib_tag=se&amp;keywords=jetson+orin+nano+dev+kit&amp;qid=1776806301&amp;sr=8-1" TargetMode="External"/><Relationship Id="rId18" Type="http://schemas.openxmlformats.org/officeDocument/2006/relationships/hyperlink" Target="https://www.aliexpress.us/item/3256809147225145.html?spm=a2g0o.productlist.main.12.7fa62c46yIxDV1&amp;aem_p4p_detail=202511051756491892845475668470000768037&amp;algo_pvid=8e343cd7-cc6a-4b0a-8de2-42df99737343&amp;algo_exp_id=8e343cd7-cc6a-4b0a-8de2-42df99737343-11&amp;pdp_ext_f=%7B%22order%22%3A%2254%22%2C%22eval%22%3A%221%22%2C%22fromPage%22%3A%22search%22%7D&amp;pdp_npi=6%40dis%21USD%212.64%212.55%21%21%2118.73%2118.06%21%402101e07217623942092732096e89f6%2112000048785689268%21sea%21US%216706092971%21X%211%210%21n_tag%3A-29913%3Bd%3Ac7f75a8b%3Bm03_new_user%3A-29895&amp;curPageLogUid=5dTh6goObXwl&amp;utparam-url=scene%3Asearch%7Cquery_from%3A%7Cx_object_id%3A1005009333539897%7C_p_origin_prod%3A&amp;search_p4p_id=202511051756491892845475668470000768037_3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0.0"/>
    <col customWidth="1" min="3" max="3" width="6.38"/>
    <col customWidth="1" min="4" max="4" width="14.5"/>
    <col customWidth="1" min="5" max="5" width="29.75"/>
    <col customWidth="1" min="6" max="6" width="10.0"/>
    <col customWidth="1" min="7" max="7" width="69.75"/>
    <col customWidth="1" min="8" max="8" width="34.88"/>
    <col customWidth="1" min="11" max="11" width="27.13"/>
    <col customWidth="1" min="12" max="12" width="3.13"/>
    <col customWidth="1" min="14" max="14" width="15.63"/>
    <col customWidth="1" min="16" max="16" width="6.38"/>
  </cols>
  <sheetData>
    <row r="1">
      <c r="C1" s="1"/>
    </row>
    <row r="2">
      <c r="B2" s="2" t="s">
        <v>0</v>
      </c>
      <c r="C2" s="3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I2" s="6" t="s">
        <v>7</v>
      </c>
      <c r="J2" s="6" t="s">
        <v>8</v>
      </c>
      <c r="K2" s="7" t="s">
        <v>9</v>
      </c>
      <c r="M2" s="8" t="s">
        <v>10</v>
      </c>
      <c r="N2" s="9" t="s">
        <v>11</v>
      </c>
    </row>
    <row r="3">
      <c r="B3" s="10" t="s">
        <v>12</v>
      </c>
      <c r="C3" s="11" t="b">
        <v>1</v>
      </c>
      <c r="D3" s="12" t="b">
        <v>1</v>
      </c>
      <c r="E3" s="13" t="s">
        <v>13</v>
      </c>
      <c r="F3" s="13">
        <v>1.0</v>
      </c>
      <c r="G3" s="14" t="s">
        <v>14</v>
      </c>
      <c r="H3" s="15" t="s">
        <v>15</v>
      </c>
      <c r="I3" s="16">
        <v>0.0</v>
      </c>
      <c r="J3" s="17">
        <f>I3/500</f>
        <v>0</v>
      </c>
      <c r="K3" s="18">
        <f>I3/50*3</f>
        <v>0</v>
      </c>
      <c r="L3" s="19"/>
      <c r="M3" s="20">
        <f>500 - SUM(I3:I65)</f>
        <v>-46.65</v>
      </c>
      <c r="N3" s="21">
        <f>M3/50*3</f>
        <v>-2.799</v>
      </c>
    </row>
    <row r="4">
      <c r="B4" s="22"/>
      <c r="C4" s="23"/>
      <c r="D4" s="24"/>
      <c r="E4" s="25"/>
      <c r="F4" s="25"/>
      <c r="G4" s="26"/>
      <c r="H4" s="27"/>
      <c r="I4" s="28"/>
      <c r="J4" s="29"/>
      <c r="K4" s="30"/>
      <c r="L4" s="19"/>
      <c r="M4" s="19"/>
    </row>
    <row r="5">
      <c r="B5" s="22"/>
      <c r="C5" s="23"/>
      <c r="D5" s="24"/>
      <c r="E5" s="31"/>
      <c r="F5" s="31"/>
      <c r="G5" s="32"/>
      <c r="H5" s="27"/>
      <c r="I5" s="28"/>
      <c r="J5" s="29"/>
      <c r="K5" s="30"/>
      <c r="L5" s="19"/>
      <c r="M5" s="33" t="s">
        <v>16</v>
      </c>
      <c r="N5" s="34"/>
      <c r="O5" s="34"/>
      <c r="P5" s="34"/>
    </row>
    <row r="6">
      <c r="B6" s="22"/>
      <c r="C6" s="23"/>
      <c r="D6" s="24"/>
      <c r="E6" s="31"/>
      <c r="F6" s="31"/>
      <c r="G6" s="32"/>
      <c r="H6" s="27"/>
      <c r="I6" s="28"/>
      <c r="J6" s="29"/>
      <c r="K6" s="30"/>
      <c r="L6" s="19"/>
      <c r="M6" s="19"/>
    </row>
    <row r="7">
      <c r="B7" s="22"/>
      <c r="C7" s="23"/>
      <c r="D7" s="24"/>
      <c r="E7" s="31"/>
      <c r="F7" s="31"/>
      <c r="G7" s="32"/>
      <c r="H7" s="35"/>
      <c r="I7" s="28"/>
      <c r="J7" s="29"/>
      <c r="K7" s="30"/>
      <c r="L7" s="19"/>
      <c r="M7" s="19"/>
    </row>
    <row r="8">
      <c r="B8" s="22"/>
      <c r="C8" s="23"/>
      <c r="D8" s="24"/>
      <c r="E8" s="31"/>
      <c r="F8" s="31"/>
      <c r="G8" s="32"/>
      <c r="H8" s="35"/>
      <c r="I8" s="36"/>
      <c r="J8" s="29"/>
      <c r="K8" s="30"/>
      <c r="L8" s="19"/>
      <c r="M8" s="19"/>
    </row>
    <row r="9">
      <c r="B9" s="22"/>
      <c r="C9" s="23"/>
      <c r="D9" s="24"/>
      <c r="E9" s="31"/>
      <c r="F9" s="31"/>
      <c r="G9" s="32"/>
      <c r="H9" s="35"/>
      <c r="I9" s="36"/>
      <c r="J9" s="29"/>
      <c r="K9" s="30"/>
      <c r="L9" s="19"/>
      <c r="M9" s="19"/>
    </row>
    <row r="10">
      <c r="B10" s="22"/>
      <c r="C10" s="23"/>
      <c r="D10" s="24"/>
      <c r="E10" s="31"/>
      <c r="F10" s="31"/>
      <c r="G10" s="32"/>
      <c r="H10" s="35"/>
      <c r="I10" s="36"/>
      <c r="J10" s="29"/>
      <c r="K10" s="30"/>
      <c r="L10" s="19"/>
      <c r="M10" s="19"/>
    </row>
    <row r="11">
      <c r="B11" s="22"/>
      <c r="C11" s="23"/>
      <c r="D11" s="24"/>
      <c r="E11" s="31"/>
      <c r="F11" s="31"/>
      <c r="G11" s="32"/>
      <c r="H11" s="35"/>
      <c r="I11" s="36"/>
      <c r="J11" s="29"/>
      <c r="K11" s="30"/>
      <c r="L11" s="19"/>
      <c r="M11" s="19"/>
    </row>
    <row r="12">
      <c r="B12" s="22"/>
      <c r="C12" s="23"/>
      <c r="D12" s="24"/>
      <c r="E12" s="31"/>
      <c r="F12" s="31"/>
      <c r="G12" s="32"/>
      <c r="H12" s="35"/>
      <c r="I12" s="36"/>
      <c r="J12" s="29"/>
      <c r="K12" s="30"/>
      <c r="L12" s="19"/>
      <c r="M12" s="19"/>
    </row>
    <row r="13">
      <c r="B13" s="37"/>
      <c r="C13" s="38" t="s">
        <v>17</v>
      </c>
      <c r="D13" s="39"/>
      <c r="E13" s="40">
        <v>0.0</v>
      </c>
      <c r="F13" s="41"/>
      <c r="G13" s="42"/>
      <c r="H13" s="42"/>
      <c r="I13" s="42"/>
      <c r="J13" s="42"/>
      <c r="K13" s="43"/>
      <c r="L13" s="19"/>
      <c r="M13" s="19"/>
    </row>
    <row r="14">
      <c r="B14" s="44" t="s">
        <v>18</v>
      </c>
      <c r="C14" s="11" t="b">
        <v>1</v>
      </c>
      <c r="D14" s="12" t="b">
        <v>0</v>
      </c>
      <c r="E14" s="45">
        <v>45950.0</v>
      </c>
      <c r="F14" s="13">
        <v>1.0</v>
      </c>
      <c r="G14" s="46" t="s">
        <v>19</v>
      </c>
      <c r="H14" s="47" t="s">
        <v>20</v>
      </c>
      <c r="I14" s="16">
        <v>4.99</v>
      </c>
      <c r="J14" s="17">
        <f t="shared" ref="J14:J32" si="1">I14/500</f>
        <v>0.00998</v>
      </c>
      <c r="K14" s="18">
        <f t="shared" ref="K14:K32" si="2">I14/50*3</f>
        <v>0.2994</v>
      </c>
      <c r="L14" s="19"/>
      <c r="M14" s="19"/>
    </row>
    <row r="15">
      <c r="B15" s="22"/>
      <c r="C15" s="48" t="b">
        <v>1</v>
      </c>
      <c r="D15" s="49" t="b">
        <v>0</v>
      </c>
      <c r="E15" s="50">
        <v>45950.0</v>
      </c>
      <c r="F15" s="51">
        <v>1.0</v>
      </c>
      <c r="G15" s="14" t="s">
        <v>21</v>
      </c>
      <c r="H15" s="47" t="s">
        <v>22</v>
      </c>
      <c r="I15" s="16">
        <v>6.99</v>
      </c>
      <c r="J15" s="17">
        <f t="shared" si="1"/>
        <v>0.01398</v>
      </c>
      <c r="K15" s="18">
        <f t="shared" si="2"/>
        <v>0.4194</v>
      </c>
      <c r="L15" s="19"/>
      <c r="M15" s="19"/>
    </row>
    <row r="16">
      <c r="B16" s="22"/>
      <c r="C16" s="48" t="b">
        <v>1</v>
      </c>
      <c r="D16" s="49" t="b">
        <v>0</v>
      </c>
      <c r="E16" s="50">
        <v>45950.0</v>
      </c>
      <c r="F16" s="51">
        <v>1.0</v>
      </c>
      <c r="G16" s="14" t="s">
        <v>23</v>
      </c>
      <c r="H16" s="47" t="s">
        <v>24</v>
      </c>
      <c r="I16" s="16">
        <v>31.99</v>
      </c>
      <c r="J16" s="17">
        <f t="shared" si="1"/>
        <v>0.06398</v>
      </c>
      <c r="K16" s="18">
        <f t="shared" si="2"/>
        <v>1.9194</v>
      </c>
      <c r="L16" s="19"/>
      <c r="M16" s="19"/>
    </row>
    <row r="17">
      <c r="B17" s="22"/>
      <c r="C17" s="48" t="b">
        <v>1</v>
      </c>
      <c r="D17" s="49" t="b">
        <v>0</v>
      </c>
      <c r="E17" s="52">
        <v>45950.0</v>
      </c>
      <c r="F17" s="51">
        <v>1.0</v>
      </c>
      <c r="G17" s="14" t="s">
        <v>25</v>
      </c>
      <c r="H17" s="53"/>
      <c r="I17" s="16">
        <v>0.17</v>
      </c>
      <c r="J17" s="17">
        <f t="shared" si="1"/>
        <v>0.00034</v>
      </c>
      <c r="K17" s="18">
        <f t="shared" si="2"/>
        <v>0.0102</v>
      </c>
      <c r="L17" s="19"/>
      <c r="M17" s="19"/>
    </row>
    <row r="18">
      <c r="B18" s="22"/>
      <c r="C18" s="48" t="b">
        <v>1</v>
      </c>
      <c r="D18" s="49" t="b">
        <v>1</v>
      </c>
      <c r="E18" s="52">
        <v>45950.0</v>
      </c>
      <c r="F18" s="51">
        <v>1.0</v>
      </c>
      <c r="G18" s="14" t="s">
        <v>26</v>
      </c>
      <c r="H18" s="54" t="s">
        <v>27</v>
      </c>
      <c r="I18" s="16">
        <v>0.0</v>
      </c>
      <c r="J18" s="17">
        <f t="shared" si="1"/>
        <v>0</v>
      </c>
      <c r="K18" s="18">
        <f t="shared" si="2"/>
        <v>0</v>
      </c>
      <c r="L18" s="19"/>
      <c r="M18" s="19"/>
    </row>
    <row r="19">
      <c r="B19" s="22"/>
      <c r="C19" s="48" t="b">
        <v>1</v>
      </c>
      <c r="D19" s="49" t="b">
        <v>1</v>
      </c>
      <c r="E19" s="52">
        <v>45950.0</v>
      </c>
      <c r="F19" s="51">
        <v>1.0</v>
      </c>
      <c r="G19" s="14" t="s">
        <v>28</v>
      </c>
      <c r="H19" s="55" t="s">
        <v>29</v>
      </c>
      <c r="I19" s="16">
        <v>0.0</v>
      </c>
      <c r="J19" s="17">
        <f t="shared" si="1"/>
        <v>0</v>
      </c>
      <c r="K19" s="18">
        <f t="shared" si="2"/>
        <v>0</v>
      </c>
      <c r="L19" s="19"/>
      <c r="M19" s="19"/>
    </row>
    <row r="20">
      <c r="B20" s="22"/>
      <c r="C20" s="48" t="b">
        <v>1</v>
      </c>
      <c r="D20" s="49" t="b">
        <v>1</v>
      </c>
      <c r="E20" s="52">
        <v>45951.0</v>
      </c>
      <c r="F20" s="51">
        <v>1.0</v>
      </c>
      <c r="G20" s="46" t="s">
        <v>30</v>
      </c>
      <c r="H20" s="46" t="s">
        <v>31</v>
      </c>
      <c r="I20" s="16">
        <v>0.0</v>
      </c>
      <c r="J20" s="17">
        <f t="shared" si="1"/>
        <v>0</v>
      </c>
      <c r="K20" s="18">
        <f t="shared" si="2"/>
        <v>0</v>
      </c>
      <c r="L20" s="19"/>
      <c r="M20" s="19"/>
    </row>
    <row r="21">
      <c r="B21" s="22"/>
      <c r="C21" s="48" t="b">
        <v>1</v>
      </c>
      <c r="D21" s="49" t="b">
        <v>0</v>
      </c>
      <c r="E21" s="52">
        <v>45951.0</v>
      </c>
      <c r="F21" s="51">
        <v>1.0</v>
      </c>
      <c r="G21" s="46" t="s">
        <v>32</v>
      </c>
      <c r="H21" s="47" t="s">
        <v>33</v>
      </c>
      <c r="I21" s="16">
        <v>168.14</v>
      </c>
      <c r="J21" s="17">
        <f t="shared" si="1"/>
        <v>0.33628</v>
      </c>
      <c r="K21" s="18">
        <f t="shared" si="2"/>
        <v>10.0884</v>
      </c>
      <c r="L21" s="19"/>
      <c r="M21" s="19"/>
    </row>
    <row r="22">
      <c r="B22" s="22"/>
      <c r="C22" s="48" t="b">
        <v>1</v>
      </c>
      <c r="D22" s="49" t="b">
        <v>0</v>
      </c>
      <c r="E22" s="52">
        <v>45951.0</v>
      </c>
      <c r="F22" s="51">
        <v>1.0</v>
      </c>
      <c r="G22" s="46" t="s">
        <v>34</v>
      </c>
      <c r="H22" s="47" t="s">
        <v>35</v>
      </c>
      <c r="I22" s="16">
        <v>46.88</v>
      </c>
      <c r="J22" s="17">
        <f t="shared" si="1"/>
        <v>0.09376</v>
      </c>
      <c r="K22" s="18">
        <f t="shared" si="2"/>
        <v>2.8128</v>
      </c>
      <c r="L22" s="19"/>
      <c r="M22" s="19"/>
    </row>
    <row r="23">
      <c r="B23" s="22"/>
      <c r="C23" s="48" t="b">
        <v>1</v>
      </c>
      <c r="D23" s="49" t="b">
        <v>1</v>
      </c>
      <c r="E23" s="52">
        <v>45966.0</v>
      </c>
      <c r="F23" s="51">
        <v>1.0</v>
      </c>
      <c r="G23" s="46" t="s">
        <v>36</v>
      </c>
      <c r="H23" s="47" t="s">
        <v>37</v>
      </c>
      <c r="I23" s="16">
        <v>0.0</v>
      </c>
      <c r="J23" s="17">
        <f t="shared" si="1"/>
        <v>0</v>
      </c>
      <c r="K23" s="18">
        <f t="shared" si="2"/>
        <v>0</v>
      </c>
      <c r="L23" s="19"/>
      <c r="M23" s="19"/>
    </row>
    <row r="24">
      <c r="B24" s="22"/>
      <c r="C24" s="48" t="b">
        <v>1</v>
      </c>
      <c r="D24" s="49" t="b">
        <v>1</v>
      </c>
      <c r="E24" s="52">
        <v>45966.0</v>
      </c>
      <c r="F24" s="51">
        <v>1.0</v>
      </c>
      <c r="G24" s="56" t="s">
        <v>38</v>
      </c>
      <c r="H24" s="47" t="s">
        <v>39</v>
      </c>
      <c r="I24" s="16">
        <v>0.0</v>
      </c>
      <c r="J24" s="17">
        <f t="shared" si="1"/>
        <v>0</v>
      </c>
      <c r="K24" s="18">
        <f t="shared" si="2"/>
        <v>0</v>
      </c>
      <c r="L24" s="19"/>
      <c r="M24" s="19"/>
    </row>
    <row r="25">
      <c r="B25" s="22"/>
      <c r="C25" s="48" t="b">
        <v>1</v>
      </c>
      <c r="D25" s="49" t="b">
        <v>1</v>
      </c>
      <c r="E25" s="52">
        <v>45966.0</v>
      </c>
      <c r="F25" s="51">
        <v>1.0</v>
      </c>
      <c r="G25" s="14" t="s">
        <v>40</v>
      </c>
      <c r="H25" s="47" t="s">
        <v>41</v>
      </c>
      <c r="I25" s="16">
        <v>0.0</v>
      </c>
      <c r="J25" s="17">
        <f t="shared" si="1"/>
        <v>0</v>
      </c>
      <c r="K25" s="18">
        <f t="shared" si="2"/>
        <v>0</v>
      </c>
      <c r="L25" s="19"/>
      <c r="M25" s="19"/>
    </row>
    <row r="26">
      <c r="B26" s="22"/>
      <c r="C26" s="48" t="b">
        <v>1</v>
      </c>
      <c r="D26" s="49" t="b">
        <v>1</v>
      </c>
      <c r="E26" s="52">
        <v>45966.0</v>
      </c>
      <c r="F26" s="51">
        <v>1.0</v>
      </c>
      <c r="G26" s="14" t="s">
        <v>42</v>
      </c>
      <c r="H26" s="47" t="s">
        <v>43</v>
      </c>
      <c r="I26" s="16">
        <v>0.0</v>
      </c>
      <c r="J26" s="17">
        <f t="shared" si="1"/>
        <v>0</v>
      </c>
      <c r="K26" s="18">
        <f t="shared" si="2"/>
        <v>0</v>
      </c>
      <c r="L26" s="19"/>
      <c r="M26" s="19"/>
    </row>
    <row r="27">
      <c r="B27" s="22"/>
      <c r="C27" s="48" t="b">
        <v>1</v>
      </c>
      <c r="D27" s="49" t="b">
        <v>1</v>
      </c>
      <c r="E27" s="52">
        <v>45966.0</v>
      </c>
      <c r="F27" s="51">
        <v>1.0</v>
      </c>
      <c r="G27" s="14" t="s">
        <v>44</v>
      </c>
      <c r="H27" s="47" t="s">
        <v>45</v>
      </c>
      <c r="I27" s="16">
        <v>0.0</v>
      </c>
      <c r="J27" s="17">
        <f t="shared" si="1"/>
        <v>0</v>
      </c>
      <c r="K27" s="18">
        <f t="shared" si="2"/>
        <v>0</v>
      </c>
      <c r="L27" s="19"/>
      <c r="M27" s="19"/>
    </row>
    <row r="28">
      <c r="B28" s="22"/>
      <c r="C28" s="48" t="b">
        <v>1</v>
      </c>
      <c r="D28" s="49" t="b">
        <v>1</v>
      </c>
      <c r="E28" s="52">
        <v>45973.0</v>
      </c>
      <c r="F28" s="51">
        <v>1.0</v>
      </c>
      <c r="G28" s="14" t="s">
        <v>46</v>
      </c>
      <c r="H28" s="47" t="s">
        <v>47</v>
      </c>
      <c r="I28" s="16">
        <v>0.0</v>
      </c>
      <c r="J28" s="17">
        <f t="shared" si="1"/>
        <v>0</v>
      </c>
      <c r="K28" s="18">
        <f t="shared" si="2"/>
        <v>0</v>
      </c>
      <c r="L28" s="19"/>
      <c r="M28" s="19"/>
    </row>
    <row r="29">
      <c r="B29" s="22"/>
      <c r="C29" s="48" t="b">
        <v>1</v>
      </c>
      <c r="D29" s="49" t="b">
        <v>0</v>
      </c>
      <c r="E29" s="45">
        <v>46058.0</v>
      </c>
      <c r="F29" s="13">
        <v>1.0</v>
      </c>
      <c r="G29" s="14" t="s">
        <v>48</v>
      </c>
      <c r="H29" s="47" t="s">
        <v>49</v>
      </c>
      <c r="I29" s="16">
        <v>8.99</v>
      </c>
      <c r="J29" s="17">
        <f t="shared" si="1"/>
        <v>0.01798</v>
      </c>
      <c r="K29" s="18">
        <f t="shared" si="2"/>
        <v>0.5394</v>
      </c>
      <c r="L29" s="19"/>
      <c r="M29" s="19"/>
    </row>
    <row r="30">
      <c r="B30" s="22"/>
      <c r="C30" s="48" t="b">
        <v>1</v>
      </c>
      <c r="D30" s="49" t="b">
        <v>0</v>
      </c>
      <c r="E30" s="50">
        <v>46058.0</v>
      </c>
      <c r="F30" s="51">
        <v>1.0</v>
      </c>
      <c r="G30" s="14" t="s">
        <v>50</v>
      </c>
      <c r="H30" s="47" t="s">
        <v>51</v>
      </c>
      <c r="I30" s="16">
        <v>15.89</v>
      </c>
      <c r="J30" s="17">
        <f t="shared" si="1"/>
        <v>0.03178</v>
      </c>
      <c r="K30" s="57">
        <f t="shared" si="2"/>
        <v>0.9534</v>
      </c>
      <c r="L30" s="58"/>
      <c r="M30" s="19"/>
    </row>
    <row r="31">
      <c r="B31" s="22"/>
      <c r="C31" s="59" t="b">
        <v>1</v>
      </c>
      <c r="D31" s="60" t="b">
        <v>0</v>
      </c>
      <c r="E31" s="61">
        <v>46083.0</v>
      </c>
      <c r="F31" s="62">
        <v>1.0</v>
      </c>
      <c r="G31" s="63" t="s">
        <v>52</v>
      </c>
      <c r="H31" s="64" t="s">
        <v>53</v>
      </c>
      <c r="I31" s="65">
        <v>8.69</v>
      </c>
      <c r="J31" s="66">
        <f t="shared" si="1"/>
        <v>0.01738</v>
      </c>
      <c r="K31" s="67">
        <f t="shared" si="2"/>
        <v>0.5214</v>
      </c>
      <c r="L31" s="19"/>
      <c r="M31" s="19"/>
    </row>
    <row r="32">
      <c r="B32" s="22"/>
      <c r="C32" s="48" t="b">
        <v>1</v>
      </c>
      <c r="D32" s="49" t="b">
        <v>0</v>
      </c>
      <c r="E32" s="52">
        <v>46105.0</v>
      </c>
      <c r="F32" s="51">
        <v>1.0</v>
      </c>
      <c r="G32" s="56" t="s">
        <v>54</v>
      </c>
      <c r="H32" s="47" t="s">
        <v>55</v>
      </c>
      <c r="I32" s="16">
        <v>12.34</v>
      </c>
      <c r="J32" s="17">
        <f t="shared" si="1"/>
        <v>0.02468</v>
      </c>
      <c r="K32" s="18">
        <f t="shared" si="2"/>
        <v>0.7404</v>
      </c>
      <c r="L32" s="19"/>
      <c r="M32" s="19"/>
    </row>
    <row r="33">
      <c r="B33" s="37"/>
      <c r="C33" s="68" t="s">
        <v>17</v>
      </c>
      <c r="D33" s="39"/>
      <c r="E33" s="69">
        <f>sum(I14:I32)</f>
        <v>305.07</v>
      </c>
      <c r="F33" s="70"/>
      <c r="G33" s="42"/>
      <c r="H33" s="42"/>
      <c r="I33" s="42"/>
      <c r="J33" s="42"/>
      <c r="K33" s="43"/>
      <c r="L33" s="19"/>
      <c r="M33" s="19"/>
    </row>
    <row r="34">
      <c r="B34" s="71" t="s">
        <v>56</v>
      </c>
      <c r="C34" s="11" t="b">
        <v>1</v>
      </c>
      <c r="D34" s="12" t="b">
        <v>1</v>
      </c>
      <c r="E34" s="72">
        <v>45950.0</v>
      </c>
      <c r="F34" s="73">
        <v>1.0</v>
      </c>
      <c r="G34" s="74" t="s">
        <v>57</v>
      </c>
      <c r="H34" s="15" t="s">
        <v>58</v>
      </c>
      <c r="I34" s="75">
        <v>0.0</v>
      </c>
      <c r="J34" s="17">
        <v>0.0</v>
      </c>
      <c r="K34" s="18">
        <f t="shared" ref="K34:K38" si="3">I34/50*3</f>
        <v>0</v>
      </c>
      <c r="L34" s="19"/>
      <c r="M34" s="19"/>
    </row>
    <row r="35">
      <c r="B35" s="22"/>
      <c r="C35" s="11" t="b">
        <v>1</v>
      </c>
      <c r="D35" s="12" t="b">
        <v>0</v>
      </c>
      <c r="E35" s="72">
        <v>45950.0</v>
      </c>
      <c r="F35" s="76">
        <v>1.0</v>
      </c>
      <c r="G35" s="77" t="s">
        <v>59</v>
      </c>
      <c r="H35" s="54" t="s">
        <v>27</v>
      </c>
      <c r="I35" s="16">
        <v>7.68</v>
      </c>
      <c r="J35" s="17">
        <f t="shared" ref="J35:J38" si="4">I35/500</f>
        <v>0.01536</v>
      </c>
      <c r="K35" s="18">
        <f t="shared" si="3"/>
        <v>0.4608</v>
      </c>
      <c r="L35" s="19"/>
      <c r="M35" s="19"/>
    </row>
    <row r="36">
      <c r="B36" s="22"/>
      <c r="C36" s="11" t="b">
        <v>1</v>
      </c>
      <c r="D36" s="12" t="b">
        <v>1</v>
      </c>
      <c r="E36" s="78">
        <v>45966.0</v>
      </c>
      <c r="F36" s="79">
        <v>1.0</v>
      </c>
      <c r="G36" s="46" t="s">
        <v>60</v>
      </c>
      <c r="H36" s="46" t="s">
        <v>61</v>
      </c>
      <c r="I36" s="16">
        <v>0.0</v>
      </c>
      <c r="J36" s="17">
        <f t="shared" si="4"/>
        <v>0</v>
      </c>
      <c r="K36" s="18">
        <f t="shared" si="3"/>
        <v>0</v>
      </c>
      <c r="L36" s="19"/>
      <c r="M36" s="19"/>
    </row>
    <row r="37">
      <c r="B37" s="22"/>
      <c r="C37" s="80" t="b">
        <v>1</v>
      </c>
      <c r="D37" s="81" t="b">
        <v>0</v>
      </c>
      <c r="E37" s="82">
        <v>46083.0</v>
      </c>
      <c r="F37" s="83">
        <v>2.0</v>
      </c>
      <c r="G37" s="84" t="s">
        <v>62</v>
      </c>
      <c r="H37" s="85" t="s">
        <v>63</v>
      </c>
      <c r="I37" s="65">
        <v>45.98</v>
      </c>
      <c r="J37" s="66">
        <f t="shared" si="4"/>
        <v>0.09196</v>
      </c>
      <c r="K37" s="67">
        <f t="shared" si="3"/>
        <v>2.7588</v>
      </c>
      <c r="L37" s="19"/>
      <c r="M37" s="19"/>
    </row>
    <row r="38">
      <c r="B38" s="22"/>
      <c r="C38" s="80" t="b">
        <v>1</v>
      </c>
      <c r="D38" s="81" t="b">
        <v>0</v>
      </c>
      <c r="E38" s="82">
        <v>46083.0</v>
      </c>
      <c r="F38" s="83">
        <v>3.0</v>
      </c>
      <c r="G38" s="86" t="s">
        <v>64</v>
      </c>
      <c r="H38" s="87" t="s">
        <v>65</v>
      </c>
      <c r="I38" s="88">
        <v>78.0</v>
      </c>
      <c r="J38" s="66">
        <f t="shared" si="4"/>
        <v>0.156</v>
      </c>
      <c r="K38" s="67">
        <f t="shared" si="3"/>
        <v>4.68</v>
      </c>
      <c r="L38" s="19"/>
      <c r="M38" s="19"/>
    </row>
    <row r="39">
      <c r="B39" s="22"/>
      <c r="C39" s="89"/>
      <c r="D39" s="90"/>
      <c r="E39" s="91"/>
      <c r="F39" s="91"/>
      <c r="G39" s="92"/>
      <c r="H39" s="92"/>
      <c r="I39" s="92"/>
      <c r="J39" s="29"/>
      <c r="K39" s="30"/>
      <c r="L39" s="19"/>
      <c r="M39" s="19"/>
    </row>
    <row r="40">
      <c r="B40" s="22"/>
      <c r="C40" s="89"/>
      <c r="D40" s="90"/>
      <c r="E40" s="25"/>
      <c r="F40" s="25"/>
      <c r="G40" s="26"/>
      <c r="H40" s="93"/>
      <c r="I40" s="28"/>
      <c r="J40" s="29"/>
      <c r="K40" s="30"/>
      <c r="L40" s="19"/>
      <c r="M40" s="19"/>
    </row>
    <row r="41">
      <c r="B41" s="22"/>
      <c r="C41" s="89"/>
      <c r="D41" s="90"/>
      <c r="E41" s="25"/>
      <c r="F41" s="25"/>
      <c r="G41" s="26"/>
      <c r="H41" s="27"/>
      <c r="I41" s="28"/>
      <c r="J41" s="29"/>
      <c r="K41" s="30"/>
      <c r="L41" s="19"/>
      <c r="M41" s="19"/>
    </row>
    <row r="42">
      <c r="B42" s="22"/>
      <c r="C42" s="23"/>
      <c r="D42" s="24"/>
      <c r="E42" s="25"/>
      <c r="F42" s="25"/>
      <c r="G42" s="26"/>
      <c r="H42" s="27"/>
      <c r="I42" s="28"/>
      <c r="J42" s="29"/>
      <c r="K42" s="30"/>
      <c r="L42" s="19"/>
      <c r="M42" s="19"/>
    </row>
    <row r="43">
      <c r="B43" s="22"/>
      <c r="C43" s="23"/>
      <c r="D43" s="24"/>
      <c r="E43" s="31"/>
      <c r="F43" s="31"/>
      <c r="G43" s="32"/>
      <c r="H43" s="35"/>
      <c r="I43" s="36"/>
      <c r="J43" s="29"/>
      <c r="K43" s="30"/>
      <c r="L43" s="19"/>
      <c r="M43" s="19"/>
    </row>
    <row r="44">
      <c r="B44" s="37"/>
      <c r="C44" s="38" t="s">
        <v>17</v>
      </c>
      <c r="D44" s="39"/>
      <c r="E44" s="69">
        <f>sum(I34:I38)</f>
        <v>131.66</v>
      </c>
      <c r="F44" s="70"/>
      <c r="G44" s="94"/>
      <c r="H44" s="95"/>
      <c r="I44" s="96"/>
      <c r="J44" s="97"/>
      <c r="K44" s="98"/>
      <c r="L44" s="19"/>
      <c r="M44" s="19"/>
    </row>
    <row r="45">
      <c r="B45" s="99" t="s">
        <v>66</v>
      </c>
      <c r="C45" s="11" t="b">
        <v>1</v>
      </c>
      <c r="D45" s="12" t="b">
        <v>0</v>
      </c>
      <c r="E45" s="100">
        <v>45954.0</v>
      </c>
      <c r="F45" s="13">
        <v>1.0</v>
      </c>
      <c r="G45" s="101" t="s">
        <v>67</v>
      </c>
      <c r="H45" s="102" t="s">
        <v>68</v>
      </c>
      <c r="I45" s="103">
        <v>39.99</v>
      </c>
      <c r="J45" s="17">
        <f t="shared" ref="J45:J49" si="5">I45/500</f>
        <v>0.07998</v>
      </c>
      <c r="K45" s="18">
        <f t="shared" ref="K45:K49" si="6">I45/50*3</f>
        <v>2.3994</v>
      </c>
      <c r="L45" s="19"/>
      <c r="M45" s="19"/>
    </row>
    <row r="46">
      <c r="B46" s="22"/>
      <c r="C46" s="11" t="b">
        <v>1</v>
      </c>
      <c r="D46" s="104" t="b">
        <v>0</v>
      </c>
      <c r="E46" s="100">
        <v>45954.0</v>
      </c>
      <c r="F46" s="13">
        <v>1.0</v>
      </c>
      <c r="G46" s="46" t="s">
        <v>69</v>
      </c>
      <c r="H46" s="105" t="s">
        <v>70</v>
      </c>
      <c r="I46" s="16">
        <v>12.99</v>
      </c>
      <c r="J46" s="17">
        <f t="shared" si="5"/>
        <v>0.02598</v>
      </c>
      <c r="K46" s="18">
        <f t="shared" si="6"/>
        <v>0.7794</v>
      </c>
      <c r="L46" s="19"/>
      <c r="M46" s="19"/>
    </row>
    <row r="47">
      <c r="B47" s="22"/>
      <c r="C47" s="11" t="b">
        <v>1</v>
      </c>
      <c r="D47" s="104" t="b">
        <v>0</v>
      </c>
      <c r="E47" s="100">
        <v>45954.0</v>
      </c>
      <c r="F47" s="13">
        <v>1.0</v>
      </c>
      <c r="G47" s="14" t="s">
        <v>71</v>
      </c>
      <c r="H47" s="47" t="s">
        <v>72</v>
      </c>
      <c r="I47" s="16">
        <v>4.99</v>
      </c>
      <c r="J47" s="17">
        <f t="shared" si="5"/>
        <v>0.00998</v>
      </c>
      <c r="K47" s="18">
        <f t="shared" si="6"/>
        <v>0.2994</v>
      </c>
      <c r="L47" s="19"/>
      <c r="M47" s="19"/>
    </row>
    <row r="48">
      <c r="B48" s="22"/>
      <c r="C48" s="11" t="b">
        <v>1</v>
      </c>
      <c r="D48" s="104" t="b">
        <v>0</v>
      </c>
      <c r="E48" s="100">
        <v>45954.0</v>
      </c>
      <c r="F48" s="13">
        <v>1.0</v>
      </c>
      <c r="G48" s="46" t="s">
        <v>73</v>
      </c>
      <c r="H48" s="54" t="s">
        <v>74</v>
      </c>
      <c r="I48" s="16">
        <v>9.99</v>
      </c>
      <c r="J48" s="17">
        <f t="shared" si="5"/>
        <v>0.01998</v>
      </c>
      <c r="K48" s="18">
        <f t="shared" si="6"/>
        <v>0.5994</v>
      </c>
      <c r="L48" s="19"/>
      <c r="M48" s="19"/>
    </row>
    <row r="49">
      <c r="B49" s="22"/>
      <c r="C49" s="11" t="b">
        <v>1</v>
      </c>
      <c r="D49" s="104" t="b">
        <v>0</v>
      </c>
      <c r="E49" s="100">
        <v>45954.0</v>
      </c>
      <c r="F49" s="13">
        <v>1.0</v>
      </c>
      <c r="G49" s="106" t="s">
        <v>75</v>
      </c>
      <c r="H49" s="102" t="s">
        <v>76</v>
      </c>
      <c r="I49" s="16">
        <v>41.96</v>
      </c>
      <c r="J49" s="17">
        <f t="shared" si="5"/>
        <v>0.08392</v>
      </c>
      <c r="K49" s="18">
        <f t="shared" si="6"/>
        <v>2.5176</v>
      </c>
      <c r="L49" s="19"/>
      <c r="M49" s="19"/>
    </row>
    <row r="50">
      <c r="B50" s="22"/>
      <c r="C50" s="23"/>
      <c r="D50" s="24"/>
      <c r="E50" s="31"/>
      <c r="F50" s="31"/>
      <c r="G50" s="32"/>
      <c r="H50" s="35"/>
      <c r="I50" s="36"/>
      <c r="J50" s="29"/>
      <c r="K50" s="30"/>
      <c r="L50" s="19"/>
      <c r="M50" s="19"/>
    </row>
    <row r="51">
      <c r="B51" s="22"/>
      <c r="C51" s="23"/>
      <c r="D51" s="24"/>
      <c r="E51" s="31"/>
      <c r="F51" s="31"/>
      <c r="G51" s="32"/>
      <c r="H51" s="35"/>
      <c r="I51" s="36"/>
      <c r="J51" s="29"/>
      <c r="K51" s="30"/>
      <c r="L51" s="19"/>
      <c r="M51" s="19"/>
    </row>
    <row r="52">
      <c r="B52" s="22"/>
      <c r="C52" s="23"/>
      <c r="D52" s="24"/>
      <c r="E52" s="31"/>
      <c r="F52" s="31"/>
      <c r="G52" s="32"/>
      <c r="H52" s="35"/>
      <c r="I52" s="36"/>
      <c r="J52" s="29"/>
      <c r="K52" s="30"/>
      <c r="L52" s="19"/>
      <c r="M52" s="19"/>
    </row>
    <row r="53">
      <c r="B53" s="22"/>
      <c r="C53" s="23"/>
      <c r="D53" s="24"/>
      <c r="E53" s="31"/>
      <c r="F53" s="31"/>
      <c r="G53" s="32"/>
      <c r="H53" s="35"/>
      <c r="I53" s="36"/>
      <c r="J53" s="29"/>
      <c r="K53" s="30"/>
      <c r="L53" s="19"/>
      <c r="M53" s="19"/>
    </row>
    <row r="54">
      <c r="B54" s="22"/>
      <c r="C54" s="23"/>
      <c r="D54" s="24"/>
      <c r="E54" s="31"/>
      <c r="F54" s="31"/>
      <c r="G54" s="32"/>
      <c r="H54" s="35"/>
      <c r="I54" s="36"/>
      <c r="J54" s="29"/>
      <c r="K54" s="30"/>
      <c r="L54" s="19"/>
      <c r="M54" s="19"/>
    </row>
    <row r="55">
      <c r="B55" s="107"/>
      <c r="C55" s="108" t="s">
        <v>17</v>
      </c>
      <c r="D55" s="109"/>
      <c r="E55" s="110">
        <f>sum(I45:I49)</f>
        <v>109.92</v>
      </c>
      <c r="F55" s="111"/>
      <c r="K55" s="112"/>
      <c r="L55" s="19"/>
      <c r="M55" s="19"/>
    </row>
    <row r="56">
      <c r="B56" s="113"/>
      <c r="C56" s="19"/>
      <c r="D56" s="19"/>
      <c r="E56" s="113"/>
      <c r="F56" s="113"/>
      <c r="G56" s="113"/>
      <c r="H56" s="113"/>
      <c r="I56" s="113"/>
      <c r="J56" s="113"/>
      <c r="K56" s="113"/>
      <c r="L56" s="19"/>
      <c r="M56" s="19"/>
    </row>
    <row r="57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>
      <c r="B62" s="19"/>
      <c r="C62" s="19"/>
      <c r="D62" s="19"/>
      <c r="E62" s="14"/>
      <c r="F62" s="14"/>
      <c r="G62" s="14"/>
      <c r="H62" s="114"/>
      <c r="I62" s="16"/>
      <c r="J62" s="19"/>
      <c r="K62" s="19"/>
      <c r="L62" s="19"/>
      <c r="M62" s="19"/>
    </row>
    <row r="63">
      <c r="B63" s="19"/>
      <c r="C63" s="19"/>
      <c r="D63" s="19"/>
      <c r="E63" s="14"/>
      <c r="F63" s="14"/>
      <c r="G63" s="14"/>
      <c r="H63" s="53"/>
      <c r="I63" s="75"/>
      <c r="J63" s="19"/>
      <c r="K63" s="19"/>
      <c r="L63" s="19"/>
      <c r="M63" s="19"/>
    </row>
    <row r="64">
      <c r="B64" s="19"/>
      <c r="C64" s="19"/>
      <c r="D64" s="19"/>
      <c r="E64" s="74"/>
      <c r="F64" s="74"/>
      <c r="G64" s="74"/>
      <c r="H64" s="115"/>
      <c r="I64" s="75"/>
      <c r="J64" s="19"/>
      <c r="K64" s="19"/>
      <c r="L64" s="19"/>
      <c r="M64" s="19"/>
    </row>
    <row r="6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</sheetData>
  <mergeCells count="11">
    <mergeCell ref="B34:B44"/>
    <mergeCell ref="B45:B55"/>
    <mergeCell ref="C55:D55"/>
    <mergeCell ref="B3:B13"/>
    <mergeCell ref="C13:D13"/>
    <mergeCell ref="F13:K13"/>
    <mergeCell ref="B14:B33"/>
    <mergeCell ref="C33:D33"/>
    <mergeCell ref="F33:K33"/>
    <mergeCell ref="C44:D44"/>
    <mergeCell ref="F55:K55"/>
  </mergeCells>
  <conditionalFormatting sqref="M3">
    <cfRule type="cellIs" dxfId="0" priority="1" operator="greaterThan">
      <formula>200</formula>
    </cfRule>
  </conditionalFormatting>
  <conditionalFormatting sqref="M3">
    <cfRule type="cellIs" dxfId="1" priority="2" operator="between">
      <formula>100</formula>
      <formula>200</formula>
    </cfRule>
  </conditionalFormatting>
  <conditionalFormatting sqref="M3">
    <cfRule type="cellIs" dxfId="2" priority="3" operator="lessThan">
      <formula>100</formula>
    </cfRule>
  </conditionalFormatting>
  <hyperlinks>
    <hyperlink r:id="rId1" ref="H3"/>
    <hyperlink r:id="rId2" ref="H14"/>
    <hyperlink r:id="rId3" ref="H15"/>
    <hyperlink r:id="rId4" ref="H16"/>
    <hyperlink r:id="rId5" ref="H18"/>
    <hyperlink r:id="rId6" ref="H19"/>
    <hyperlink r:id="rId7" ref="H21"/>
    <hyperlink r:id="rId8" ref="H22"/>
    <hyperlink r:id="rId9" ref="H23"/>
    <hyperlink r:id="rId10" ref="H24"/>
    <hyperlink r:id="rId11" ref="H25"/>
    <hyperlink r:id="rId12" ref="H26"/>
    <hyperlink r:id="rId13" ref="H27"/>
    <hyperlink r:id="rId14" ref="H28"/>
    <hyperlink r:id="rId15" ref="H29"/>
    <hyperlink r:id="rId16" ref="H30"/>
    <hyperlink r:id="rId17" ref="H31"/>
    <hyperlink r:id="rId18" location="nav-specification" ref="H32"/>
    <hyperlink r:id="rId19" ref="H34"/>
    <hyperlink r:id="rId20" ref="H35"/>
    <hyperlink r:id="rId21" ref="H37"/>
    <hyperlink r:id="rId22" ref="H38"/>
    <hyperlink r:id="rId23" ref="H45"/>
    <hyperlink r:id="rId24" location="averageCustomerReviewsAnchor" ref="H46"/>
    <hyperlink r:id="rId25" ref="H47"/>
    <hyperlink r:id="rId26" ref="H48"/>
    <hyperlink r:id="rId27" ref="H49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